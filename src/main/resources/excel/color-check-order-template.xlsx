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:\_Contents\05_비용견적\2026\05월\MV1_EV_27MY_KO_1lang\"/>
    </mc:Choice>
  </mc:AlternateContent>
  <xr:revisionPtr revIDLastSave="0" documentId="13_ncr:1_{89A95F70-3B2E-4311-88E0-2C563DE0DED5}" xr6:coauthVersionLast="47" xr6:coauthVersionMax="47" xr10:uidLastSave="{00000000-0000-0000-0000-000000000000}"/>
  <bookViews>
    <workbookView xWindow="38280" yWindow="-2655" windowWidth="38640" windowHeight="21120" xr2:uid="{00000000-000D-0000-FFFF-FFFF00000000}"/>
  </bookViews>
  <sheets>
    <sheet name="도안 발주서" sheetId="3" r:id="rId1"/>
    <sheet name="작업의뢰 내역" sheetId="4" r:id="rId2"/>
    <sheet name="챕터" sheetId="5" r:id="rId3"/>
  </sheets>
  <definedNames>
    <definedName name="_xlnm._FilterDatabase" localSheetId="1" hidden="1">'작업의뢰 내역'!$B$4:$K$571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4" l="1" a="1"/>
  <c r="J5" i="4" s="1"/>
  <c r="I5" i="4" a="1"/>
  <c r="I5" i="4" s="1"/>
  <c r="I490" i="4" s="1"/>
  <c r="J25" i="4" a="1"/>
  <c r="J25" i="4" s="1"/>
  <c r="J455" i="4" a="1"/>
  <c r="J455" i="4" s="1"/>
  <c r="J382" i="4" a="1"/>
  <c r="J382" i="4" s="1"/>
  <c r="J358" i="4" a="1"/>
  <c r="J358" i="4" s="1"/>
  <c r="J285" i="4" a="1"/>
  <c r="J285" i="4" s="1"/>
  <c r="J261" i="4" a="1"/>
  <c r="J261" i="4" s="1"/>
  <c r="J45" i="4" a="1"/>
  <c r="J45" i="4" s="1"/>
  <c r="J212" i="4" a="1"/>
  <c r="J212" i="4" s="1"/>
  <c r="J188" i="4" a="1"/>
  <c r="J188" i="4" s="1"/>
  <c r="J164" i="4" a="1"/>
  <c r="J164" i="4" s="1"/>
  <c r="J115" i="4" a="1"/>
  <c r="J115" i="4" s="1"/>
  <c r="J91" i="4" a="1"/>
  <c r="J91" i="4" s="1"/>
  <c r="J67" i="4" a="1"/>
  <c r="J67" i="4" s="1"/>
  <c r="J42" i="4" a="1"/>
  <c r="J42" i="4" s="1"/>
  <c r="J18" i="4" a="1"/>
  <c r="J18" i="4" s="1"/>
  <c r="J449" i="4" a="1"/>
  <c r="J449" i="4" s="1"/>
  <c r="J400" i="4" a="1"/>
  <c r="J400" i="4" s="1"/>
  <c r="J376" i="4" a="1"/>
  <c r="J376" i="4" s="1"/>
  <c r="J352" i="4" a="1"/>
  <c r="J352" i="4" s="1"/>
  <c r="J303" i="4" a="1"/>
  <c r="J303" i="4" s="1"/>
  <c r="J279" i="4" a="1"/>
  <c r="J279" i="4" s="1"/>
  <c r="J255" i="4" a="1"/>
  <c r="J255" i="4" s="1"/>
  <c r="J39" i="4" a="1"/>
  <c r="J39" i="4" s="1"/>
  <c r="J76" i="4" a="1"/>
  <c r="J76" i="4" s="1"/>
  <c r="J62" i="4" a="1"/>
  <c r="J62" i="4" s="1"/>
  <c r="J38" i="4" a="1"/>
  <c r="J38" i="4" s="1"/>
  <c r="J14" i="4" a="1"/>
  <c r="J14" i="4" s="1"/>
  <c r="J469" i="4" a="1"/>
  <c r="J469" i="4" s="1"/>
  <c r="J420" i="4" a="1"/>
  <c r="J420" i="4" s="1"/>
  <c r="J396" i="4" a="1"/>
  <c r="J396" i="4" s="1"/>
  <c r="J372" i="4" a="1"/>
  <c r="J372" i="4" s="1"/>
  <c r="J347" i="4" a="1"/>
  <c r="J347" i="4" s="1"/>
  <c r="J323" i="4" a="1"/>
  <c r="J323" i="4" s="1"/>
  <c r="J299" i="4" a="1"/>
  <c r="J299" i="4" s="1"/>
  <c r="J275" i="4" a="1"/>
  <c r="J275" i="4" s="1"/>
  <c r="J59" i="4" a="1"/>
  <c r="J59" i="4" s="1"/>
  <c r="J250" i="4" a="1"/>
  <c r="J250" i="4" s="1"/>
  <c r="J226" i="4" a="1"/>
  <c r="J226" i="4" s="1"/>
  <c r="J202" i="4" a="1"/>
  <c r="J202" i="4" s="1"/>
  <c r="J178" i="4" a="1"/>
  <c r="J178" i="4" s="1"/>
  <c r="J153" i="4" a="1"/>
  <c r="J153" i="4" s="1"/>
  <c r="J129" i="4" a="1"/>
  <c r="J129" i="4" s="1"/>
  <c r="J105" i="4" a="1"/>
  <c r="J105" i="4" s="1"/>
  <c r="J81" i="4" a="1"/>
  <c r="J81" i="4" s="1"/>
  <c r="J101" i="4" a="1"/>
  <c r="J101" i="4" s="1"/>
  <c r="J28" i="4" a="1"/>
  <c r="J28" i="4" s="1"/>
  <c r="J458" i="4" a="1"/>
  <c r="J458" i="4" s="1"/>
  <c r="J152" i="4" a="1"/>
  <c r="J152" i="4" s="1"/>
  <c r="J128" i="4" a="1"/>
  <c r="J128" i="4" s="1"/>
  <c r="J315" i="4" a="1"/>
  <c r="J315" i="4" s="1"/>
  <c r="J80" i="4" a="1"/>
  <c r="J80" i="4" s="1"/>
  <c r="J125" i="4" a="1"/>
  <c r="J125" i="4" s="1"/>
  <c r="J218" i="4" a="1"/>
  <c r="J218" i="4" s="1"/>
  <c r="J79" i="4" a="1"/>
  <c r="J79" i="4" s="1"/>
  <c r="J55" i="4" a="1"/>
  <c r="J55" i="4" s="1"/>
  <c r="J31" i="4" a="1"/>
  <c r="J31" i="4" s="1"/>
  <c r="J52" i="4" a="1"/>
  <c r="J52" i="4" s="1"/>
  <c r="J54" i="4" a="1"/>
  <c r="J54" i="4" s="1"/>
  <c r="J30" i="4" a="1"/>
  <c r="J30" i="4" s="1"/>
  <c r="J6" i="4" a="1"/>
  <c r="J6" i="4" s="1"/>
  <c r="J482" i="4" a="1"/>
  <c r="J482" i="4" s="1"/>
  <c r="J483" i="4" a="1"/>
  <c r="J483" i="4" s="1"/>
  <c r="J484" i="4" a="1"/>
  <c r="J484" i="4" s="1"/>
  <c r="J485" i="4" a="1"/>
  <c r="J485" i="4" s="1"/>
  <c r="J486" i="4" a="1"/>
  <c r="J486" i="4" s="1"/>
  <c r="J487" i="4" a="1"/>
  <c r="J487" i="4" s="1"/>
  <c r="J488" i="4" a="1"/>
  <c r="J488" i="4" s="1"/>
  <c r="J489" i="4" a="1"/>
  <c r="J489" i="4" s="1"/>
  <c r="J490" i="4" a="1"/>
  <c r="J490" i="4" s="1"/>
  <c r="J491" i="4" a="1"/>
  <c r="J491" i="4" s="1"/>
  <c r="J492" i="4" a="1"/>
  <c r="J492" i="4" s="1"/>
  <c r="J493" i="4" a="1"/>
  <c r="J493" i="4" s="1"/>
  <c r="J494" i="4" a="1"/>
  <c r="J494" i="4" s="1"/>
  <c r="J495" i="4" a="1"/>
  <c r="J495" i="4" s="1"/>
  <c r="J496" i="4" a="1"/>
  <c r="J496" i="4" s="1"/>
  <c r="J497" i="4" a="1"/>
  <c r="J497" i="4" s="1"/>
  <c r="J498" i="4" a="1"/>
  <c r="J498" i="4" s="1"/>
  <c r="J499" i="4" a="1"/>
  <c r="J499" i="4" s="1"/>
  <c r="J500" i="4" a="1"/>
  <c r="J500" i="4" s="1"/>
  <c r="J501" i="4" a="1"/>
  <c r="J501" i="4" s="1"/>
  <c r="J502" i="4" a="1"/>
  <c r="J502" i="4" s="1"/>
  <c r="J503" i="4" a="1"/>
  <c r="J503" i="4" s="1"/>
  <c r="J504" i="4" a="1"/>
  <c r="J504" i="4" s="1"/>
  <c r="J505" i="4" a="1"/>
  <c r="J505" i="4" s="1"/>
  <c r="J506" i="4" a="1"/>
  <c r="J506" i="4" s="1"/>
  <c r="J507" i="4" a="1"/>
  <c r="J507" i="4" s="1"/>
  <c r="J508" i="4" a="1"/>
  <c r="J508" i="4" s="1"/>
  <c r="J509" i="4" a="1"/>
  <c r="J509" i="4" s="1"/>
  <c r="J510" i="4" a="1"/>
  <c r="J510" i="4" s="1"/>
  <c r="J511" i="4" a="1"/>
  <c r="J511" i="4" s="1"/>
  <c r="J512" i="4" a="1"/>
  <c r="J512" i="4" s="1"/>
  <c r="J513" i="4" a="1"/>
  <c r="J513" i="4" s="1"/>
  <c r="J514" i="4" a="1"/>
  <c r="J514" i="4" s="1"/>
  <c r="J515" i="4" a="1"/>
  <c r="J515" i="4" s="1"/>
  <c r="J516" i="4" a="1"/>
  <c r="J516" i="4" s="1"/>
  <c r="J517" i="4" a="1"/>
  <c r="J517" i="4" s="1"/>
  <c r="J518" i="4" a="1"/>
  <c r="J518" i="4" s="1"/>
  <c r="J519" i="4" a="1"/>
  <c r="J519" i="4" s="1"/>
  <c r="J520" i="4" a="1"/>
  <c r="J520" i="4" s="1"/>
  <c r="J521" i="4" a="1"/>
  <c r="J521" i="4" s="1"/>
  <c r="J522" i="4" a="1"/>
  <c r="J522" i="4" s="1"/>
  <c r="J523" i="4" a="1"/>
  <c r="J523" i="4" s="1"/>
  <c r="J524" i="4" a="1"/>
  <c r="J524" i="4" s="1"/>
  <c r="J525" i="4" a="1"/>
  <c r="J525" i="4" s="1"/>
  <c r="J526" i="4" a="1"/>
  <c r="J526" i="4" s="1"/>
  <c r="J527" i="4" a="1"/>
  <c r="J527" i="4" s="1"/>
  <c r="J528" i="4" a="1"/>
  <c r="J528" i="4" s="1"/>
  <c r="J529" i="4" a="1"/>
  <c r="J529" i="4" s="1"/>
  <c r="J530" i="4" a="1"/>
  <c r="J530" i="4" s="1"/>
  <c r="J531" i="4" a="1"/>
  <c r="J531" i="4" s="1"/>
  <c r="J532" i="4" a="1"/>
  <c r="J532" i="4" s="1"/>
  <c r="J533" i="4" a="1"/>
  <c r="J533" i="4" s="1"/>
  <c r="J534" i="4" a="1"/>
  <c r="J534" i="4" s="1"/>
  <c r="J535" i="4" a="1"/>
  <c r="J535" i="4" s="1"/>
  <c r="J536" i="4" a="1"/>
  <c r="J536" i="4" s="1"/>
  <c r="J537" i="4" a="1"/>
  <c r="J537" i="4" s="1"/>
  <c r="J538" i="4" a="1"/>
  <c r="J538" i="4" s="1"/>
  <c r="J539" i="4" a="1"/>
  <c r="J539" i="4" s="1"/>
  <c r="J540" i="4" a="1"/>
  <c r="J540" i="4" s="1"/>
  <c r="J541" i="4" a="1"/>
  <c r="J541" i="4" s="1"/>
  <c r="J542" i="4" a="1"/>
  <c r="J542" i="4" s="1"/>
  <c r="J543" i="4" a="1"/>
  <c r="J543" i="4" s="1"/>
  <c r="J544" i="4" a="1"/>
  <c r="J544" i="4" s="1"/>
  <c r="J545" i="4" a="1"/>
  <c r="J545" i="4" s="1"/>
  <c r="J546" i="4" a="1"/>
  <c r="J546" i="4" s="1"/>
  <c r="J547" i="4" a="1"/>
  <c r="J547" i="4" s="1"/>
  <c r="J548" i="4" a="1"/>
  <c r="J548" i="4" s="1"/>
  <c r="J549" i="4" a="1"/>
  <c r="J549" i="4" s="1"/>
  <c r="J550" i="4" a="1"/>
  <c r="J550" i="4" s="1"/>
  <c r="J551" i="4" a="1"/>
  <c r="J551" i="4" s="1"/>
  <c r="J552" i="4" a="1"/>
  <c r="J552" i="4" s="1"/>
  <c r="J553" i="4" a="1"/>
  <c r="J553" i="4" s="1"/>
  <c r="J554" i="4" a="1"/>
  <c r="J554" i="4" s="1"/>
  <c r="J555" i="4" a="1"/>
  <c r="J555" i="4" s="1"/>
  <c r="J556" i="4" a="1"/>
  <c r="J556" i="4" s="1"/>
  <c r="J557" i="4" a="1"/>
  <c r="J557" i="4" s="1"/>
  <c r="J558" i="4" a="1"/>
  <c r="J558" i="4" s="1"/>
  <c r="J559" i="4" a="1"/>
  <c r="J559" i="4" s="1"/>
  <c r="J560" i="4" a="1"/>
  <c r="J560" i="4" s="1"/>
  <c r="J561" i="4" a="1"/>
  <c r="J561" i="4" s="1"/>
  <c r="J562" i="4" a="1"/>
  <c r="J562" i="4" s="1"/>
  <c r="J563" i="4" a="1"/>
  <c r="J563" i="4" s="1"/>
  <c r="J564" i="4" a="1"/>
  <c r="J564" i="4" s="1"/>
  <c r="J565" i="4" a="1"/>
  <c r="J565" i="4" s="1"/>
  <c r="J566" i="4" a="1"/>
  <c r="J566" i="4" s="1"/>
  <c r="J567" i="4" a="1"/>
  <c r="J567" i="4" s="1"/>
  <c r="J568" i="4" a="1"/>
  <c r="J568" i="4" s="1"/>
  <c r="J569" i="4" a="1"/>
  <c r="J569" i="4" s="1"/>
  <c r="J570" i="4" a="1"/>
  <c r="J570" i="4" s="1"/>
  <c r="J571" i="4" a="1"/>
  <c r="J571" i="4" s="1"/>
  <c r="I559" i="4" l="1"/>
  <c r="I545" i="4"/>
  <c r="I503" i="4"/>
  <c r="I571" i="4"/>
  <c r="I543" i="4"/>
  <c r="I501" i="4"/>
  <c r="I570" i="4"/>
  <c r="I556" i="4"/>
  <c r="I542" i="4"/>
  <c r="I528" i="4"/>
  <c r="I514" i="4"/>
  <c r="I500" i="4"/>
  <c r="I486" i="4"/>
  <c r="I492" i="4"/>
  <c r="I531" i="4"/>
  <c r="I489" i="4"/>
  <c r="I557" i="4"/>
  <c r="I529" i="4"/>
  <c r="I515" i="4"/>
  <c r="I487" i="4"/>
  <c r="I569" i="4"/>
  <c r="I555" i="4"/>
  <c r="I541" i="4"/>
  <c r="I527" i="4"/>
  <c r="I513" i="4"/>
  <c r="I499" i="4"/>
  <c r="I485" i="4"/>
  <c r="I562" i="4"/>
  <c r="I520" i="4"/>
  <c r="I558" i="4"/>
  <c r="I530" i="4"/>
  <c r="I502" i="4"/>
  <c r="I568" i="4"/>
  <c r="I526" i="4"/>
  <c r="I498" i="4"/>
  <c r="I567" i="4"/>
  <c r="I553" i="4"/>
  <c r="I539" i="4"/>
  <c r="I525" i="4"/>
  <c r="I511" i="4"/>
  <c r="I497" i="4"/>
  <c r="I483" i="4"/>
  <c r="I548" i="4"/>
  <c r="I540" i="4"/>
  <c r="I484" i="4"/>
  <c r="I566" i="4"/>
  <c r="I552" i="4"/>
  <c r="I538" i="4"/>
  <c r="I524" i="4"/>
  <c r="I510" i="4"/>
  <c r="I496" i="4"/>
  <c r="I482" i="4"/>
  <c r="I534" i="4"/>
  <c r="I544" i="4"/>
  <c r="I488" i="4"/>
  <c r="I554" i="4"/>
  <c r="I512" i="4"/>
  <c r="I565" i="4"/>
  <c r="I551" i="4"/>
  <c r="I537" i="4"/>
  <c r="I523" i="4"/>
  <c r="I509" i="4"/>
  <c r="I495" i="4"/>
  <c r="I506" i="4"/>
  <c r="I517" i="4"/>
  <c r="I516" i="4"/>
  <c r="I564" i="4"/>
  <c r="I550" i="4"/>
  <c r="I536" i="4"/>
  <c r="I522" i="4"/>
  <c r="I508" i="4"/>
  <c r="I494" i="4"/>
  <c r="I563" i="4"/>
  <c r="I549" i="4"/>
  <c r="I535" i="4"/>
  <c r="I521" i="4"/>
  <c r="I507" i="4"/>
  <c r="I493" i="4"/>
  <c r="I561" i="4"/>
  <c r="I547" i="4"/>
  <c r="I533" i="4"/>
  <c r="I519" i="4"/>
  <c r="I505" i="4"/>
  <c r="I491" i="4"/>
  <c r="I560" i="4"/>
  <c r="I546" i="4"/>
  <c r="I532" i="4"/>
  <c r="I518" i="4"/>
  <c r="I504" i="4"/>
  <c r="J410" i="4" a="1"/>
  <c r="J410" i="4" s="1"/>
  <c r="J217" i="4" a="1"/>
  <c r="J217" i="4" s="1"/>
  <c r="J49" i="4" a="1"/>
  <c r="J49" i="4" s="1"/>
  <c r="J120" i="4" a="1"/>
  <c r="J120" i="4" s="1"/>
  <c r="J27" i="4" a="1"/>
  <c r="J27" i="4" s="1"/>
  <c r="J98" i="4" a="1"/>
  <c r="J98" i="4" s="1"/>
  <c r="J121" i="4" a="1"/>
  <c r="J121" i="4" s="1"/>
  <c r="J240" i="4" a="1"/>
  <c r="J240" i="4" s="1"/>
  <c r="J96" i="4" a="1"/>
  <c r="J96" i="4" s="1"/>
  <c r="J479" i="4" a="1"/>
  <c r="J479" i="4" s="1"/>
  <c r="J431" i="4" a="1"/>
  <c r="J431" i="4" s="1"/>
  <c r="J407" i="4" a="1"/>
  <c r="J407" i="4" s="1"/>
  <c r="J383" i="4" a="1"/>
  <c r="J383" i="4" s="1"/>
  <c r="J359" i="4" a="1"/>
  <c r="J359" i="4" s="1"/>
  <c r="J335" i="4" a="1"/>
  <c r="J335" i="4" s="1"/>
  <c r="J311" i="4" a="1"/>
  <c r="J311" i="4" s="1"/>
  <c r="J287" i="4" a="1"/>
  <c r="J287" i="4" s="1"/>
  <c r="J263" i="4" a="1"/>
  <c r="J263" i="4" s="1"/>
  <c r="J239" i="4" a="1"/>
  <c r="J239" i="4" s="1"/>
  <c r="J215" i="4" a="1"/>
  <c r="J215" i="4" s="1"/>
  <c r="J191" i="4" a="1"/>
  <c r="J191" i="4" s="1"/>
  <c r="J167" i="4" a="1"/>
  <c r="J167" i="4" s="1"/>
  <c r="J143" i="4" a="1"/>
  <c r="J143" i="4" s="1"/>
  <c r="J119" i="4" a="1"/>
  <c r="J119" i="4" s="1"/>
  <c r="J95" i="4" a="1"/>
  <c r="J95" i="4" s="1"/>
  <c r="J71" i="4" a="1"/>
  <c r="J71" i="4" s="1"/>
  <c r="J47" i="4" a="1"/>
  <c r="J47" i="4" s="1"/>
  <c r="J23" i="4" a="1"/>
  <c r="J23" i="4" s="1"/>
  <c r="J243" i="4" a="1"/>
  <c r="J243" i="4" s="1"/>
  <c r="J170" i="4" a="1"/>
  <c r="J170" i="4" s="1"/>
  <c r="J289" i="4" a="1"/>
  <c r="J289" i="4" s="1"/>
  <c r="J312" i="4" a="1"/>
  <c r="J312" i="4" s="1"/>
  <c r="J192" i="4" a="1"/>
  <c r="J192" i="4" s="1"/>
  <c r="J48" i="4" a="1"/>
  <c r="J48" i="4" s="1"/>
  <c r="J478" i="4" a="1"/>
  <c r="J478" i="4" s="1"/>
  <c r="J454" i="4" a="1"/>
  <c r="J454" i="4" s="1"/>
  <c r="J430" i="4" a="1"/>
  <c r="J430" i="4" s="1"/>
  <c r="J406" i="4" a="1"/>
  <c r="J406" i="4" s="1"/>
  <c r="J334" i="4" a="1"/>
  <c r="J334" i="4" s="1"/>
  <c r="J310" i="4" a="1"/>
  <c r="J310" i="4" s="1"/>
  <c r="J286" i="4" a="1"/>
  <c r="J286" i="4" s="1"/>
  <c r="J262" i="4" a="1"/>
  <c r="J262" i="4" s="1"/>
  <c r="J238" i="4" a="1"/>
  <c r="J238" i="4" s="1"/>
  <c r="J214" i="4" a="1"/>
  <c r="J214" i="4" s="1"/>
  <c r="J190" i="4" a="1"/>
  <c r="J190" i="4" s="1"/>
  <c r="J166" i="4" a="1"/>
  <c r="J166" i="4" s="1"/>
  <c r="J142" i="4" a="1"/>
  <c r="J142" i="4" s="1"/>
  <c r="J118" i="4" a="1"/>
  <c r="J118" i="4" s="1"/>
  <c r="J94" i="4" a="1"/>
  <c r="J94" i="4" s="1"/>
  <c r="J70" i="4" a="1"/>
  <c r="J70" i="4" s="1"/>
  <c r="J46" i="4" a="1"/>
  <c r="J46" i="4" s="1"/>
  <c r="J22" i="4" a="1"/>
  <c r="J22" i="4" s="1"/>
  <c r="J411" i="4" a="1"/>
  <c r="J411" i="4" s="1"/>
  <c r="J433" i="4" a="1"/>
  <c r="J433" i="4" s="1"/>
  <c r="J168" i="4" a="1"/>
  <c r="J168" i="4" s="1"/>
  <c r="J477" i="4" a="1"/>
  <c r="J477" i="4" s="1"/>
  <c r="J453" i="4" a="1"/>
  <c r="J453" i="4" s="1"/>
  <c r="J429" i="4" a="1"/>
  <c r="J429" i="4" s="1"/>
  <c r="J405" i="4" a="1"/>
  <c r="J405" i="4" s="1"/>
  <c r="J381" i="4" a="1"/>
  <c r="J381" i="4" s="1"/>
  <c r="J357" i="4" a="1"/>
  <c r="J357" i="4" s="1"/>
  <c r="J333" i="4" a="1"/>
  <c r="J333" i="4" s="1"/>
  <c r="J309" i="4" a="1"/>
  <c r="J309" i="4" s="1"/>
  <c r="J237" i="4" a="1"/>
  <c r="J237" i="4" s="1"/>
  <c r="J213" i="4" a="1"/>
  <c r="J213" i="4" s="1"/>
  <c r="J189" i="4" a="1"/>
  <c r="J189" i="4" s="1"/>
  <c r="J165" i="4" a="1"/>
  <c r="J165" i="4" s="1"/>
  <c r="J141" i="4" a="1"/>
  <c r="J141" i="4" s="1"/>
  <c r="J117" i="4" a="1"/>
  <c r="J117" i="4" s="1"/>
  <c r="J93" i="4" a="1"/>
  <c r="J93" i="4" s="1"/>
  <c r="J69" i="4" a="1"/>
  <c r="J69" i="4" s="1"/>
  <c r="J21" i="4" a="1"/>
  <c r="J21" i="4" s="1"/>
  <c r="J195" i="4" a="1"/>
  <c r="J195" i="4" s="1"/>
  <c r="J290" i="4" a="1"/>
  <c r="J290" i="4" s="1"/>
  <c r="J361" i="4" a="1"/>
  <c r="J361" i="4" s="1"/>
  <c r="J264" i="4" a="1"/>
  <c r="J264" i="4" s="1"/>
  <c r="J24" i="4" a="1"/>
  <c r="J24" i="4" s="1"/>
  <c r="J476" i="4" a="1"/>
  <c r="J476" i="4" s="1"/>
  <c r="J452" i="4" a="1"/>
  <c r="J452" i="4" s="1"/>
  <c r="J428" i="4" a="1"/>
  <c r="J428" i="4" s="1"/>
  <c r="J404" i="4" a="1"/>
  <c r="J404" i="4" s="1"/>
  <c r="J380" i="4" a="1"/>
  <c r="J380" i="4" s="1"/>
  <c r="J356" i="4" a="1"/>
  <c r="J356" i="4" s="1"/>
  <c r="J332" i="4" a="1"/>
  <c r="J332" i="4" s="1"/>
  <c r="J308" i="4" a="1"/>
  <c r="J308" i="4" s="1"/>
  <c r="J284" i="4" a="1"/>
  <c r="J284" i="4" s="1"/>
  <c r="J260" i="4" a="1"/>
  <c r="J260" i="4" s="1"/>
  <c r="J236" i="4" a="1"/>
  <c r="J236" i="4" s="1"/>
  <c r="J140" i="4" a="1"/>
  <c r="J140" i="4" s="1"/>
  <c r="J116" i="4" a="1"/>
  <c r="J116" i="4" s="1"/>
  <c r="J92" i="4" a="1"/>
  <c r="J92" i="4" s="1"/>
  <c r="J68" i="4" a="1"/>
  <c r="J68" i="4" s="1"/>
  <c r="J44" i="4" a="1"/>
  <c r="J44" i="4" s="1"/>
  <c r="J20" i="4" a="1"/>
  <c r="J20" i="4" s="1"/>
  <c r="J99" i="4" a="1"/>
  <c r="J99" i="4" s="1"/>
  <c r="J362" i="4" a="1"/>
  <c r="J362" i="4" s="1"/>
  <c r="J50" i="4" a="1"/>
  <c r="J50" i="4" s="1"/>
  <c r="J481" i="4" a="1"/>
  <c r="J481" i="4" s="1"/>
  <c r="J97" i="4" a="1"/>
  <c r="J97" i="4" s="1"/>
  <c r="J288" i="4" a="1"/>
  <c r="J288" i="4" s="1"/>
  <c r="J144" i="4" a="1"/>
  <c r="J144" i="4" s="1"/>
  <c r="J475" i="4" a="1"/>
  <c r="J475" i="4" s="1"/>
  <c r="J451" i="4" a="1"/>
  <c r="J451" i="4" s="1"/>
  <c r="J427" i="4" a="1"/>
  <c r="J427" i="4" s="1"/>
  <c r="J403" i="4" a="1"/>
  <c r="J403" i="4" s="1"/>
  <c r="J379" i="4" a="1"/>
  <c r="J379" i="4" s="1"/>
  <c r="J355" i="4" a="1"/>
  <c r="J355" i="4" s="1"/>
  <c r="J331" i="4" a="1"/>
  <c r="J331" i="4" s="1"/>
  <c r="J307" i="4" a="1"/>
  <c r="J307" i="4" s="1"/>
  <c r="J283" i="4" a="1"/>
  <c r="J283" i="4" s="1"/>
  <c r="J259" i="4" a="1"/>
  <c r="J259" i="4" s="1"/>
  <c r="J235" i="4" a="1"/>
  <c r="J235" i="4" s="1"/>
  <c r="J211" i="4" a="1"/>
  <c r="J211" i="4" s="1"/>
  <c r="J187" i="4" a="1"/>
  <c r="J187" i="4" s="1"/>
  <c r="J163" i="4" a="1"/>
  <c r="J163" i="4" s="1"/>
  <c r="J139" i="4" a="1"/>
  <c r="J139" i="4" s="1"/>
  <c r="J43" i="4" a="1"/>
  <c r="J43" i="4" s="1"/>
  <c r="J19" i="4" a="1"/>
  <c r="J19" i="4" s="1"/>
  <c r="J147" i="4" a="1"/>
  <c r="J147" i="4" s="1"/>
  <c r="J434" i="4" a="1"/>
  <c r="J434" i="4" s="1"/>
  <c r="J26" i="4" a="1"/>
  <c r="J26" i="4" s="1"/>
  <c r="J337" i="4" a="1"/>
  <c r="J337" i="4" s="1"/>
  <c r="J216" i="4" a="1"/>
  <c r="J216" i="4" s="1"/>
  <c r="J72" i="4" a="1"/>
  <c r="J72" i="4" s="1"/>
  <c r="J474" i="4" a="1"/>
  <c r="J474" i="4" s="1"/>
  <c r="J450" i="4" a="1"/>
  <c r="J450" i="4" s="1"/>
  <c r="J426" i="4" a="1"/>
  <c r="J426" i="4" s="1"/>
  <c r="J402" i="4" a="1"/>
  <c r="J402" i="4" s="1"/>
  <c r="J378" i="4" a="1"/>
  <c r="J378" i="4" s="1"/>
  <c r="J354" i="4" a="1"/>
  <c r="J354" i="4" s="1"/>
  <c r="J330" i="4" a="1"/>
  <c r="J330" i="4" s="1"/>
  <c r="J306" i="4" a="1"/>
  <c r="J306" i="4" s="1"/>
  <c r="J282" i="4" a="1"/>
  <c r="J282" i="4" s="1"/>
  <c r="J258" i="4" a="1"/>
  <c r="J258" i="4" s="1"/>
  <c r="J234" i="4" a="1"/>
  <c r="J234" i="4" s="1"/>
  <c r="J210" i="4" a="1"/>
  <c r="J210" i="4" s="1"/>
  <c r="J186" i="4" a="1"/>
  <c r="J186" i="4" s="1"/>
  <c r="J162" i="4" a="1"/>
  <c r="J162" i="4" s="1"/>
  <c r="J138" i="4" a="1"/>
  <c r="J138" i="4" s="1"/>
  <c r="J114" i="4" a="1"/>
  <c r="J114" i="4" s="1"/>
  <c r="J90" i="4" a="1"/>
  <c r="J90" i="4" s="1"/>
  <c r="J66" i="4" a="1"/>
  <c r="J66" i="4" s="1"/>
  <c r="J17" i="4" a="1"/>
  <c r="J17" i="4" s="1"/>
  <c r="J459" i="4" a="1"/>
  <c r="J459" i="4" s="1"/>
  <c r="J385" i="4" a="1"/>
  <c r="J385" i="4" s="1"/>
  <c r="J65" i="4" a="1"/>
  <c r="J65" i="4" s="1"/>
  <c r="J472" i="4" a="1"/>
  <c r="J472" i="4" s="1"/>
  <c r="J448" i="4" a="1"/>
  <c r="J448" i="4" s="1"/>
  <c r="J424" i="4" a="1"/>
  <c r="J424" i="4" s="1"/>
  <c r="J328" i="4" a="1"/>
  <c r="J328" i="4" s="1"/>
  <c r="J304" i="4" a="1"/>
  <c r="J304" i="4" s="1"/>
  <c r="J280" i="4" a="1"/>
  <c r="J280" i="4" s="1"/>
  <c r="J256" i="4" a="1"/>
  <c r="J256" i="4" s="1"/>
  <c r="J232" i="4" a="1"/>
  <c r="J232" i="4" s="1"/>
  <c r="J208" i="4" a="1"/>
  <c r="J208" i="4" s="1"/>
  <c r="J184" i="4" a="1"/>
  <c r="J184" i="4" s="1"/>
  <c r="J160" i="4" a="1"/>
  <c r="J160" i="4" s="1"/>
  <c r="J136" i="4" a="1"/>
  <c r="J136" i="4" s="1"/>
  <c r="J112" i="4" a="1"/>
  <c r="J112" i="4" s="1"/>
  <c r="J88" i="4" a="1"/>
  <c r="J88" i="4" s="1"/>
  <c r="J64" i="4" a="1"/>
  <c r="J64" i="4" s="1"/>
  <c r="J40" i="4" a="1"/>
  <c r="J40" i="4" s="1"/>
  <c r="J16" i="4" a="1"/>
  <c r="J16" i="4" s="1"/>
  <c r="J291" i="4" a="1"/>
  <c r="J291" i="4" s="1"/>
  <c r="J146" i="4" a="1"/>
  <c r="J146" i="4" s="1"/>
  <c r="J313" i="4" a="1"/>
  <c r="J313" i="4" s="1"/>
  <c r="J432" i="4" a="1"/>
  <c r="J432" i="4" s="1"/>
  <c r="J473" i="4" a="1"/>
  <c r="J473" i="4" s="1"/>
  <c r="J329" i="4" a="1"/>
  <c r="J329" i="4" s="1"/>
  <c r="J41" i="4" a="1"/>
  <c r="J41" i="4" s="1"/>
  <c r="J471" i="4" a="1"/>
  <c r="J471" i="4" s="1"/>
  <c r="J447" i="4" a="1"/>
  <c r="J447" i="4" s="1"/>
  <c r="J423" i="4" a="1"/>
  <c r="J423" i="4" s="1"/>
  <c r="J399" i="4" a="1"/>
  <c r="J399" i="4" s="1"/>
  <c r="J375" i="4" a="1"/>
  <c r="J375" i="4" s="1"/>
  <c r="J351" i="4" a="1"/>
  <c r="J351" i="4" s="1"/>
  <c r="J327" i="4" a="1"/>
  <c r="J327" i="4" s="1"/>
  <c r="J231" i="4" a="1"/>
  <c r="J231" i="4" s="1"/>
  <c r="J207" i="4" a="1"/>
  <c r="J207" i="4" s="1"/>
  <c r="J183" i="4" a="1"/>
  <c r="J183" i="4" s="1"/>
  <c r="J159" i="4" a="1"/>
  <c r="J159" i="4" s="1"/>
  <c r="J135" i="4" a="1"/>
  <c r="J135" i="4" s="1"/>
  <c r="J111" i="4" a="1"/>
  <c r="J111" i="4" s="1"/>
  <c r="J87" i="4" a="1"/>
  <c r="J87" i="4" s="1"/>
  <c r="J63" i="4" a="1"/>
  <c r="J63" i="4" s="1"/>
  <c r="J15" i="4" a="1"/>
  <c r="J15" i="4" s="1"/>
  <c r="J219" i="4" a="1"/>
  <c r="J219" i="4" s="1"/>
  <c r="J242" i="4" a="1"/>
  <c r="J242" i="4" s="1"/>
  <c r="J169" i="4" a="1"/>
  <c r="J169" i="4" s="1"/>
  <c r="J480" i="4" a="1"/>
  <c r="J480" i="4" s="1"/>
  <c r="J401" i="4" a="1"/>
  <c r="J401" i="4" s="1"/>
  <c r="J305" i="4" a="1"/>
  <c r="J305" i="4" s="1"/>
  <c r="J89" i="4" a="1"/>
  <c r="J89" i="4" s="1"/>
  <c r="J470" i="4" a="1"/>
  <c r="J470" i="4" s="1"/>
  <c r="J446" i="4" a="1"/>
  <c r="J446" i="4" s="1"/>
  <c r="J422" i="4" a="1"/>
  <c r="J422" i="4" s="1"/>
  <c r="J398" i="4" a="1"/>
  <c r="J398" i="4" s="1"/>
  <c r="J374" i="4" a="1"/>
  <c r="J374" i="4" s="1"/>
  <c r="J350" i="4" a="1"/>
  <c r="J350" i="4" s="1"/>
  <c r="J326" i="4" a="1"/>
  <c r="J326" i="4" s="1"/>
  <c r="J302" i="4" a="1"/>
  <c r="J302" i="4" s="1"/>
  <c r="J278" i="4" a="1"/>
  <c r="J278" i="4" s="1"/>
  <c r="J254" i="4" a="1"/>
  <c r="J254" i="4" s="1"/>
  <c r="J230" i="4" a="1"/>
  <c r="J230" i="4" s="1"/>
  <c r="J206" i="4" a="1"/>
  <c r="J206" i="4" s="1"/>
  <c r="J182" i="4" a="1"/>
  <c r="J182" i="4" s="1"/>
  <c r="J158" i="4" a="1"/>
  <c r="J158" i="4" s="1"/>
  <c r="J134" i="4" a="1"/>
  <c r="J134" i="4" s="1"/>
  <c r="J110" i="4" a="1"/>
  <c r="J110" i="4" s="1"/>
  <c r="J86" i="4" a="1"/>
  <c r="J86" i="4" s="1"/>
  <c r="J363" i="4" a="1"/>
  <c r="J363" i="4" s="1"/>
  <c r="J425" i="4" a="1"/>
  <c r="J425" i="4" s="1"/>
  <c r="J113" i="4" a="1"/>
  <c r="J113" i="4" s="1"/>
  <c r="J445" i="4" a="1"/>
  <c r="J445" i="4" s="1"/>
  <c r="J421" i="4" a="1"/>
  <c r="J421" i="4" s="1"/>
  <c r="J397" i="4" a="1"/>
  <c r="J397" i="4" s="1"/>
  <c r="J373" i="4" a="1"/>
  <c r="J373" i="4" s="1"/>
  <c r="J349" i="4" a="1"/>
  <c r="J349" i="4" s="1"/>
  <c r="J325" i="4" a="1"/>
  <c r="J325" i="4" s="1"/>
  <c r="J301" i="4" a="1"/>
  <c r="J301" i="4" s="1"/>
  <c r="J277" i="4" a="1"/>
  <c r="J277" i="4" s="1"/>
  <c r="J253" i="4" a="1"/>
  <c r="J253" i="4" s="1"/>
  <c r="J229" i="4" a="1"/>
  <c r="J229" i="4" s="1"/>
  <c r="J205" i="4" a="1"/>
  <c r="J205" i="4" s="1"/>
  <c r="J181" i="4" a="1"/>
  <c r="J181" i="4" s="1"/>
  <c r="J157" i="4" a="1"/>
  <c r="J157" i="4" s="1"/>
  <c r="J133" i="4" a="1"/>
  <c r="J133" i="4" s="1"/>
  <c r="J109" i="4" a="1"/>
  <c r="J109" i="4" s="1"/>
  <c r="J85" i="4" a="1"/>
  <c r="J85" i="4" s="1"/>
  <c r="J61" i="4" a="1"/>
  <c r="J61" i="4" s="1"/>
  <c r="J37" i="4" a="1"/>
  <c r="J37" i="4" s="1"/>
  <c r="J13" i="4" a="1"/>
  <c r="J13" i="4" s="1"/>
  <c r="J339" i="4" a="1"/>
  <c r="J339" i="4" s="1"/>
  <c r="J233" i="4" a="1"/>
  <c r="J233" i="4" s="1"/>
  <c r="J348" i="4" a="1"/>
  <c r="J348" i="4" s="1"/>
  <c r="J324" i="4" a="1"/>
  <c r="J324" i="4" s="1"/>
  <c r="J300" i="4" a="1"/>
  <c r="J300" i="4" s="1"/>
  <c r="J276" i="4" a="1"/>
  <c r="J276" i="4" s="1"/>
  <c r="J252" i="4" a="1"/>
  <c r="J252" i="4" s="1"/>
  <c r="J228" i="4" a="1"/>
  <c r="J228" i="4" s="1"/>
  <c r="J204" i="4" a="1"/>
  <c r="J204" i="4" s="1"/>
  <c r="J180" i="4" a="1"/>
  <c r="J180" i="4" s="1"/>
  <c r="J156" i="4" a="1"/>
  <c r="J156" i="4" s="1"/>
  <c r="J132" i="4" a="1"/>
  <c r="J132" i="4" s="1"/>
  <c r="J108" i="4" a="1"/>
  <c r="J108" i="4" s="1"/>
  <c r="J84" i="4" a="1"/>
  <c r="J84" i="4" s="1"/>
  <c r="J60" i="4" a="1"/>
  <c r="J60" i="4" s="1"/>
  <c r="J36" i="4" a="1"/>
  <c r="J36" i="4" s="1"/>
  <c r="J12" i="4" a="1"/>
  <c r="J12" i="4" s="1"/>
  <c r="J75" i="4" a="1"/>
  <c r="J75" i="4" s="1"/>
  <c r="J314" i="4" a="1"/>
  <c r="J314" i="4" s="1"/>
  <c r="J145" i="4" a="1"/>
  <c r="J145" i="4" s="1"/>
  <c r="J408" i="4" a="1"/>
  <c r="J408" i="4" s="1"/>
  <c r="J353" i="4" a="1"/>
  <c r="J353" i="4" s="1"/>
  <c r="J444" i="4" a="1"/>
  <c r="J444" i="4" s="1"/>
  <c r="J467" i="4" a="1"/>
  <c r="J467" i="4" s="1"/>
  <c r="J443" i="4" a="1"/>
  <c r="J443" i="4" s="1"/>
  <c r="J419" i="4" a="1"/>
  <c r="J419" i="4" s="1"/>
  <c r="J395" i="4" a="1"/>
  <c r="J395" i="4" s="1"/>
  <c r="J371" i="4" a="1"/>
  <c r="J371" i="4" s="1"/>
  <c r="J251" i="4" a="1"/>
  <c r="J251" i="4" s="1"/>
  <c r="J227" i="4" a="1"/>
  <c r="J227" i="4" s="1"/>
  <c r="J203" i="4" a="1"/>
  <c r="J203" i="4" s="1"/>
  <c r="J179" i="4" a="1"/>
  <c r="J179" i="4" s="1"/>
  <c r="J155" i="4" a="1"/>
  <c r="J155" i="4" s="1"/>
  <c r="J131" i="4" a="1"/>
  <c r="J131" i="4" s="1"/>
  <c r="J107" i="4" a="1"/>
  <c r="J107" i="4" s="1"/>
  <c r="J83" i="4" a="1"/>
  <c r="J83" i="4" s="1"/>
  <c r="J35" i="4" a="1"/>
  <c r="J35" i="4" s="1"/>
  <c r="J11" i="4" a="1"/>
  <c r="J11" i="4" s="1"/>
  <c r="J123" i="4" a="1"/>
  <c r="J123" i="4" s="1"/>
  <c r="J74" i="4" a="1"/>
  <c r="J74" i="4" s="1"/>
  <c r="J241" i="4" a="1"/>
  <c r="J241" i="4" s="1"/>
  <c r="J137" i="4" a="1"/>
  <c r="J137" i="4" s="1"/>
  <c r="J466" i="4" a="1"/>
  <c r="J466" i="4" s="1"/>
  <c r="J442" i="4" a="1"/>
  <c r="J442" i="4" s="1"/>
  <c r="J418" i="4" a="1"/>
  <c r="J418" i="4" s="1"/>
  <c r="J394" i="4" a="1"/>
  <c r="J394" i="4" s="1"/>
  <c r="J370" i="4" a="1"/>
  <c r="J370" i="4" s="1"/>
  <c r="J346" i="4" a="1"/>
  <c r="J346" i="4" s="1"/>
  <c r="J322" i="4" a="1"/>
  <c r="J322" i="4" s="1"/>
  <c r="J298" i="4" a="1"/>
  <c r="J298" i="4" s="1"/>
  <c r="J274" i="4" a="1"/>
  <c r="J274" i="4" s="1"/>
  <c r="J154" i="4" a="1"/>
  <c r="J154" i="4" s="1"/>
  <c r="J130" i="4" a="1"/>
  <c r="J130" i="4" s="1"/>
  <c r="J106" i="4" a="1"/>
  <c r="J106" i="4" s="1"/>
  <c r="J82" i="4" a="1"/>
  <c r="J82" i="4" s="1"/>
  <c r="J58" i="4" a="1"/>
  <c r="J58" i="4" s="1"/>
  <c r="J34" i="4" a="1"/>
  <c r="J34" i="4" s="1"/>
  <c r="J10" i="4" a="1"/>
  <c r="J10" i="4" s="1"/>
  <c r="J387" i="4" a="1"/>
  <c r="J387" i="4" s="1"/>
  <c r="J185" i="4" a="1"/>
  <c r="J185" i="4" s="1"/>
  <c r="J465" i="4" a="1"/>
  <c r="J465" i="4" s="1"/>
  <c r="J441" i="4" a="1"/>
  <c r="J441" i="4" s="1"/>
  <c r="J417" i="4" a="1"/>
  <c r="J417" i="4" s="1"/>
  <c r="J393" i="4" a="1"/>
  <c r="J393" i="4" s="1"/>
  <c r="J369" i="4" a="1"/>
  <c r="J369" i="4" s="1"/>
  <c r="J345" i="4" a="1"/>
  <c r="J345" i="4" s="1"/>
  <c r="J321" i="4" a="1"/>
  <c r="J321" i="4" s="1"/>
  <c r="J297" i="4" a="1"/>
  <c r="J297" i="4" s="1"/>
  <c r="J273" i="4" a="1"/>
  <c r="J273" i="4" s="1"/>
  <c r="J249" i="4" a="1"/>
  <c r="J249" i="4" s="1"/>
  <c r="J225" i="4" a="1"/>
  <c r="J225" i="4" s="1"/>
  <c r="J201" i="4" a="1"/>
  <c r="J201" i="4" s="1"/>
  <c r="J177" i="4" a="1"/>
  <c r="J177" i="4" s="1"/>
  <c r="J57" i="4" a="1"/>
  <c r="J57" i="4" s="1"/>
  <c r="J33" i="4" a="1"/>
  <c r="J33" i="4" s="1"/>
  <c r="J9" i="4" a="1"/>
  <c r="J9" i="4" s="1"/>
  <c r="J435" i="4" a="1"/>
  <c r="J435" i="4" s="1"/>
  <c r="J51" i="4" a="1"/>
  <c r="J51" i="4" s="1"/>
  <c r="J386" i="4" a="1"/>
  <c r="J386" i="4" s="1"/>
  <c r="J122" i="4" a="1"/>
  <c r="J122" i="4" s="1"/>
  <c r="J409" i="4" a="1"/>
  <c r="J409" i="4" s="1"/>
  <c r="J281" i="4" a="1"/>
  <c r="J281" i="4" s="1"/>
  <c r="J464" i="4" a="1"/>
  <c r="J464" i="4" s="1"/>
  <c r="J440" i="4" a="1"/>
  <c r="J440" i="4" s="1"/>
  <c r="J416" i="4" a="1"/>
  <c r="J416" i="4" s="1"/>
  <c r="J392" i="4" a="1"/>
  <c r="J392" i="4" s="1"/>
  <c r="J368" i="4" a="1"/>
  <c r="J368" i="4" s="1"/>
  <c r="J344" i="4" a="1"/>
  <c r="J344" i="4" s="1"/>
  <c r="J320" i="4" a="1"/>
  <c r="J320" i="4" s="1"/>
  <c r="J296" i="4" a="1"/>
  <c r="J296" i="4" s="1"/>
  <c r="J272" i="4" a="1"/>
  <c r="J272" i="4" s="1"/>
  <c r="J248" i="4" a="1"/>
  <c r="J248" i="4" s="1"/>
  <c r="J224" i="4" a="1"/>
  <c r="J224" i="4" s="1"/>
  <c r="J200" i="4" a="1"/>
  <c r="J200" i="4" s="1"/>
  <c r="J176" i="4" a="1"/>
  <c r="J176" i="4" s="1"/>
  <c r="J104" i="4" a="1"/>
  <c r="J104" i="4" s="1"/>
  <c r="J56" i="4" a="1"/>
  <c r="J56" i="4" s="1"/>
  <c r="J32" i="4" a="1"/>
  <c r="J32" i="4" s="1"/>
  <c r="J8" i="4" a="1"/>
  <c r="J8" i="4" s="1"/>
  <c r="J73" i="4" a="1"/>
  <c r="J73" i="4" s="1"/>
  <c r="J456" i="4" a="1"/>
  <c r="J456" i="4" s="1"/>
  <c r="J161" i="4" a="1"/>
  <c r="J161" i="4" s="1"/>
  <c r="J463" i="4" a="1"/>
  <c r="J463" i="4" s="1"/>
  <c r="J439" i="4" a="1"/>
  <c r="J439" i="4" s="1"/>
  <c r="J415" i="4" a="1"/>
  <c r="J415" i="4" s="1"/>
  <c r="J391" i="4" a="1"/>
  <c r="J391" i="4" s="1"/>
  <c r="J367" i="4" a="1"/>
  <c r="J367" i="4" s="1"/>
  <c r="J343" i="4" a="1"/>
  <c r="J343" i="4" s="1"/>
  <c r="J319" i="4" a="1"/>
  <c r="J319" i="4" s="1"/>
  <c r="J295" i="4" a="1"/>
  <c r="J295" i="4" s="1"/>
  <c r="J271" i="4" a="1"/>
  <c r="J271" i="4" s="1"/>
  <c r="J247" i="4" a="1"/>
  <c r="J247" i="4" s="1"/>
  <c r="J223" i="4" a="1"/>
  <c r="J223" i="4" s="1"/>
  <c r="J199" i="4" a="1"/>
  <c r="J199" i="4" s="1"/>
  <c r="J175" i="4" a="1"/>
  <c r="J175" i="4" s="1"/>
  <c r="J151" i="4" a="1"/>
  <c r="J151" i="4" s="1"/>
  <c r="J127" i="4" a="1"/>
  <c r="J127" i="4" s="1"/>
  <c r="J103" i="4" a="1"/>
  <c r="J103" i="4" s="1"/>
  <c r="J7" i="4" a="1"/>
  <c r="J7" i="4" s="1"/>
  <c r="J267" i="4" a="1"/>
  <c r="J267" i="4" s="1"/>
  <c r="J338" i="4" a="1"/>
  <c r="J338" i="4" s="1"/>
  <c r="J265" i="4" a="1"/>
  <c r="J265" i="4" s="1"/>
  <c r="J384" i="4" a="1"/>
  <c r="J384" i="4" s="1"/>
  <c r="J209" i="4" a="1"/>
  <c r="J209" i="4" s="1"/>
  <c r="J462" i="4" a="1"/>
  <c r="J462" i="4" s="1"/>
  <c r="J438" i="4" a="1"/>
  <c r="J438" i="4" s="1"/>
  <c r="J414" i="4" a="1"/>
  <c r="J414" i="4" s="1"/>
  <c r="J390" i="4" a="1"/>
  <c r="J390" i="4" s="1"/>
  <c r="J366" i="4" a="1"/>
  <c r="J366" i="4" s="1"/>
  <c r="J342" i="4" a="1"/>
  <c r="J342" i="4" s="1"/>
  <c r="J318" i="4" a="1"/>
  <c r="J318" i="4" s="1"/>
  <c r="J294" i="4" a="1"/>
  <c r="J294" i="4" s="1"/>
  <c r="J270" i="4" a="1"/>
  <c r="J270" i="4" s="1"/>
  <c r="J246" i="4" a="1"/>
  <c r="J246" i="4" s="1"/>
  <c r="J222" i="4" a="1"/>
  <c r="J222" i="4" s="1"/>
  <c r="J198" i="4" a="1"/>
  <c r="J198" i="4" s="1"/>
  <c r="J174" i="4" a="1"/>
  <c r="J174" i="4" s="1"/>
  <c r="J150" i="4" a="1"/>
  <c r="J150" i="4" s="1"/>
  <c r="J126" i="4" a="1"/>
  <c r="J126" i="4" s="1"/>
  <c r="J102" i="4" a="1"/>
  <c r="J102" i="4" s="1"/>
  <c r="J78" i="4" a="1"/>
  <c r="J78" i="4" s="1"/>
  <c r="J171" i="4" a="1"/>
  <c r="J171" i="4" s="1"/>
  <c r="J266" i="4" a="1"/>
  <c r="J266" i="4" s="1"/>
  <c r="J193" i="4" a="1"/>
  <c r="J193" i="4" s="1"/>
  <c r="J336" i="4" a="1"/>
  <c r="J336" i="4" s="1"/>
  <c r="J377" i="4" a="1"/>
  <c r="J377" i="4" s="1"/>
  <c r="J468" i="4" a="1"/>
  <c r="J468" i="4" s="1"/>
  <c r="J461" i="4" a="1"/>
  <c r="J461" i="4" s="1"/>
  <c r="J437" i="4" a="1"/>
  <c r="J437" i="4" s="1"/>
  <c r="J413" i="4" a="1"/>
  <c r="J413" i="4" s="1"/>
  <c r="J389" i="4" a="1"/>
  <c r="J389" i="4" s="1"/>
  <c r="J365" i="4" a="1"/>
  <c r="J365" i="4" s="1"/>
  <c r="J341" i="4" a="1"/>
  <c r="J341" i="4" s="1"/>
  <c r="J317" i="4" a="1"/>
  <c r="J317" i="4" s="1"/>
  <c r="J293" i="4" a="1"/>
  <c r="J293" i="4" s="1"/>
  <c r="J269" i="4" a="1"/>
  <c r="J269" i="4" s="1"/>
  <c r="J245" i="4" a="1"/>
  <c r="J245" i="4" s="1"/>
  <c r="J221" i="4" a="1"/>
  <c r="J221" i="4" s="1"/>
  <c r="J197" i="4" a="1"/>
  <c r="J197" i="4" s="1"/>
  <c r="J173" i="4" a="1"/>
  <c r="J173" i="4" s="1"/>
  <c r="J149" i="4" a="1"/>
  <c r="J149" i="4" s="1"/>
  <c r="J77" i="4" a="1"/>
  <c r="J77" i="4" s="1"/>
  <c r="J53" i="4" a="1"/>
  <c r="J53" i="4" s="1"/>
  <c r="J29" i="4" a="1"/>
  <c r="J29" i="4" s="1"/>
  <c r="J194" i="4" a="1"/>
  <c r="J194" i="4" s="1"/>
  <c r="J457" i="4" a="1"/>
  <c r="J457" i="4" s="1"/>
  <c r="J360" i="4" a="1"/>
  <c r="J360" i="4" s="1"/>
  <c r="J257" i="4" a="1"/>
  <c r="J257" i="4" s="1"/>
  <c r="J460" i="4" a="1"/>
  <c r="J460" i="4" s="1"/>
  <c r="J436" i="4" a="1"/>
  <c r="J436" i="4" s="1"/>
  <c r="J412" i="4" a="1"/>
  <c r="J412" i="4" s="1"/>
  <c r="J388" i="4" a="1"/>
  <c r="J388" i="4" s="1"/>
  <c r="J364" i="4" a="1"/>
  <c r="J364" i="4" s="1"/>
  <c r="J340" i="4" a="1"/>
  <c r="J340" i="4" s="1"/>
  <c r="J316" i="4" a="1"/>
  <c r="J316" i="4" s="1"/>
  <c r="J292" i="4" a="1"/>
  <c r="J292" i="4" s="1"/>
  <c r="J268" i="4" a="1"/>
  <c r="J268" i="4" s="1"/>
  <c r="J244" i="4" a="1"/>
  <c r="J244" i="4" s="1"/>
  <c r="J220" i="4" a="1"/>
  <c r="J220" i="4" s="1"/>
  <c r="J196" i="4" a="1"/>
  <c r="J196" i="4" s="1"/>
  <c r="J172" i="4" a="1"/>
  <c r="J172" i="4" s="1"/>
  <c r="J148" i="4" a="1"/>
  <c r="J148" i="4" s="1"/>
  <c r="J124" i="4" a="1"/>
  <c r="J124" i="4" s="1"/>
  <c r="J100" i="4" a="1"/>
  <c r="J100" i="4" s="1"/>
  <c r="G572" i="4"/>
  <c r="H572" i="4"/>
  <c r="F30" i="3" l="1"/>
  <c r="F28" i="3"/>
  <c r="I436" i="4"/>
  <c r="I475" i="4"/>
  <c r="I478" i="4"/>
  <c r="I435" i="4"/>
  <c r="I434" i="4"/>
  <c r="I437" i="4"/>
  <c r="I438" i="4"/>
  <c r="I439" i="4"/>
  <c r="I473" i="4"/>
  <c r="I447" i="4"/>
  <c r="I479" i="4"/>
  <c r="I433" i="4"/>
  <c r="I457" i="4"/>
  <c r="I481" i="4"/>
  <c r="I458" i="4"/>
  <c r="I459" i="4"/>
  <c r="I460" i="4"/>
  <c r="I461" i="4"/>
  <c r="I462" i="4"/>
  <c r="I463" i="4"/>
  <c r="I440" i="4"/>
  <c r="I464" i="4"/>
  <c r="I441" i="4"/>
  <c r="I465" i="4"/>
  <c r="I442" i="4"/>
  <c r="I466" i="4"/>
  <c r="I443" i="4"/>
  <c r="I467" i="4"/>
  <c r="I444" i="4"/>
  <c r="I468" i="4"/>
  <c r="I445" i="4"/>
  <c r="I469" i="4"/>
  <c r="I446" i="4"/>
  <c r="I470" i="4"/>
  <c r="I471" i="4"/>
  <c r="I448" i="4"/>
  <c r="I472" i="4"/>
  <c r="I449" i="4"/>
  <c r="I450" i="4"/>
  <c r="I474" i="4"/>
  <c r="I451" i="4"/>
  <c r="I452" i="4"/>
  <c r="I476" i="4"/>
  <c r="I453" i="4"/>
  <c r="I477" i="4"/>
  <c r="I454" i="4"/>
  <c r="I455" i="4"/>
  <c r="I456" i="4"/>
  <c r="I480" i="4"/>
  <c r="I56" i="4"/>
  <c r="I80" i="4"/>
  <c r="I104" i="4"/>
  <c r="I128" i="4"/>
  <c r="I152" i="4"/>
  <c r="I176" i="4"/>
  <c r="I200" i="4"/>
  <c r="I224" i="4"/>
  <c r="I248" i="4"/>
  <c r="I272" i="4"/>
  <c r="I296" i="4"/>
  <c r="I320" i="4"/>
  <c r="I344" i="4"/>
  <c r="I368" i="4"/>
  <c r="I392" i="4"/>
  <c r="I416" i="4"/>
  <c r="I33" i="4"/>
  <c r="I57" i="4"/>
  <c r="I81" i="4"/>
  <c r="I105" i="4"/>
  <c r="I129" i="4"/>
  <c r="I153" i="4"/>
  <c r="I177" i="4"/>
  <c r="I201" i="4"/>
  <c r="I225" i="4"/>
  <c r="I249" i="4"/>
  <c r="I273" i="4"/>
  <c r="I297" i="4"/>
  <c r="I321" i="4"/>
  <c r="I345" i="4"/>
  <c r="I369" i="4"/>
  <c r="I393" i="4"/>
  <c r="I417" i="4"/>
  <c r="I34" i="4"/>
  <c r="I58" i="4"/>
  <c r="I82" i="4"/>
  <c r="I106" i="4"/>
  <c r="I130" i="4"/>
  <c r="I154" i="4"/>
  <c r="I178" i="4"/>
  <c r="I202" i="4"/>
  <c r="I226" i="4"/>
  <c r="I250" i="4"/>
  <c r="I274" i="4"/>
  <c r="I298" i="4"/>
  <c r="I322" i="4"/>
  <c r="I346" i="4"/>
  <c r="I370" i="4"/>
  <c r="I394" i="4"/>
  <c r="I418" i="4"/>
  <c r="I35" i="4"/>
  <c r="I59" i="4"/>
  <c r="I83" i="4"/>
  <c r="I107" i="4"/>
  <c r="I131" i="4"/>
  <c r="I155" i="4"/>
  <c r="I179" i="4"/>
  <c r="I203" i="4"/>
  <c r="I227" i="4"/>
  <c r="I251" i="4"/>
  <c r="I275" i="4"/>
  <c r="I299" i="4"/>
  <c r="I323" i="4"/>
  <c r="I347" i="4"/>
  <c r="I371" i="4"/>
  <c r="I395" i="4"/>
  <c r="I419" i="4"/>
  <c r="I36" i="4"/>
  <c r="I60" i="4"/>
  <c r="I84" i="4"/>
  <c r="I108" i="4"/>
  <c r="I132" i="4"/>
  <c r="I156" i="4"/>
  <c r="I180" i="4"/>
  <c r="I204" i="4"/>
  <c r="I228" i="4"/>
  <c r="I252" i="4"/>
  <c r="I276" i="4"/>
  <c r="I300" i="4"/>
  <c r="I324" i="4"/>
  <c r="I348" i="4"/>
  <c r="I372" i="4"/>
  <c r="I396" i="4"/>
  <c r="I420" i="4"/>
  <c r="I37" i="4"/>
  <c r="I61" i="4"/>
  <c r="I85" i="4"/>
  <c r="I109" i="4"/>
  <c r="I133" i="4"/>
  <c r="I157" i="4"/>
  <c r="I181" i="4"/>
  <c r="I205" i="4"/>
  <c r="I229" i="4"/>
  <c r="I253" i="4"/>
  <c r="I277" i="4"/>
  <c r="I301" i="4"/>
  <c r="I325" i="4"/>
  <c r="I349" i="4"/>
  <c r="I373" i="4"/>
  <c r="I397" i="4"/>
  <c r="I421" i="4"/>
  <c r="I38" i="4"/>
  <c r="I62" i="4"/>
  <c r="I86" i="4"/>
  <c r="I110" i="4"/>
  <c r="I134" i="4"/>
  <c r="I158" i="4"/>
  <c r="I182" i="4"/>
  <c r="I206" i="4"/>
  <c r="I230" i="4"/>
  <c r="I254" i="4"/>
  <c r="I278" i="4"/>
  <c r="I302" i="4"/>
  <c r="I326" i="4"/>
  <c r="I350" i="4"/>
  <c r="I374" i="4"/>
  <c r="I398" i="4"/>
  <c r="I422" i="4"/>
  <c r="I39" i="4"/>
  <c r="I63" i="4"/>
  <c r="I87" i="4"/>
  <c r="I111" i="4"/>
  <c r="I135" i="4"/>
  <c r="I159" i="4"/>
  <c r="I183" i="4"/>
  <c r="I207" i="4"/>
  <c r="I231" i="4"/>
  <c r="I255" i="4"/>
  <c r="I279" i="4"/>
  <c r="I303" i="4"/>
  <c r="I327" i="4"/>
  <c r="I351" i="4"/>
  <c r="I375" i="4"/>
  <c r="I399" i="4"/>
  <c r="I423" i="4"/>
  <c r="I40" i="4"/>
  <c r="I64" i="4"/>
  <c r="I88" i="4"/>
  <c r="I112" i="4"/>
  <c r="I136" i="4"/>
  <c r="I160" i="4"/>
  <c r="I184" i="4"/>
  <c r="I208" i="4"/>
  <c r="I232" i="4"/>
  <c r="I256" i="4"/>
  <c r="I280" i="4"/>
  <c r="I304" i="4"/>
  <c r="I328" i="4"/>
  <c r="I352" i="4"/>
  <c r="I376" i="4"/>
  <c r="I400" i="4"/>
  <c r="I424" i="4"/>
  <c r="I41" i="4"/>
  <c r="I65" i="4"/>
  <c r="I89" i="4"/>
  <c r="I113" i="4"/>
  <c r="I137" i="4"/>
  <c r="I161" i="4"/>
  <c r="I185" i="4"/>
  <c r="I209" i="4"/>
  <c r="I233" i="4"/>
  <c r="I257" i="4"/>
  <c r="I281" i="4"/>
  <c r="I305" i="4"/>
  <c r="I329" i="4"/>
  <c r="I353" i="4"/>
  <c r="I377" i="4"/>
  <c r="I401" i="4"/>
  <c r="I425" i="4"/>
  <c r="I42" i="4"/>
  <c r="I66" i="4"/>
  <c r="I90" i="4"/>
  <c r="I114" i="4"/>
  <c r="I138" i="4"/>
  <c r="I162" i="4"/>
  <c r="I186" i="4"/>
  <c r="I210" i="4"/>
  <c r="I234" i="4"/>
  <c r="I258" i="4"/>
  <c r="I282" i="4"/>
  <c r="I306" i="4"/>
  <c r="I330" i="4"/>
  <c r="I354" i="4"/>
  <c r="I378" i="4"/>
  <c r="I402" i="4"/>
  <c r="I426" i="4"/>
  <c r="I43" i="4"/>
  <c r="I67" i="4"/>
  <c r="I91" i="4"/>
  <c r="I115" i="4"/>
  <c r="I139" i="4"/>
  <c r="I163" i="4"/>
  <c r="I187" i="4"/>
  <c r="I211" i="4"/>
  <c r="I235" i="4"/>
  <c r="I259" i="4"/>
  <c r="I283" i="4"/>
  <c r="I307" i="4"/>
  <c r="I331" i="4"/>
  <c r="I355" i="4"/>
  <c r="I379" i="4"/>
  <c r="I403" i="4"/>
  <c r="I427" i="4"/>
  <c r="I44" i="4"/>
  <c r="I68" i="4"/>
  <c r="I92" i="4"/>
  <c r="I116" i="4"/>
  <c r="I140" i="4"/>
  <c r="I164" i="4"/>
  <c r="I188" i="4"/>
  <c r="I212" i="4"/>
  <c r="I236" i="4"/>
  <c r="I260" i="4"/>
  <c r="I284" i="4"/>
  <c r="I308" i="4"/>
  <c r="I332" i="4"/>
  <c r="I356" i="4"/>
  <c r="I380" i="4"/>
  <c r="I404" i="4"/>
  <c r="I428" i="4"/>
  <c r="I45" i="4"/>
  <c r="I69" i="4"/>
  <c r="I93" i="4"/>
  <c r="I117" i="4"/>
  <c r="I141" i="4"/>
  <c r="I165" i="4"/>
  <c r="I189" i="4"/>
  <c r="I213" i="4"/>
  <c r="I237" i="4"/>
  <c r="I261" i="4"/>
  <c r="I285" i="4"/>
  <c r="I309" i="4"/>
  <c r="I333" i="4"/>
  <c r="I357" i="4"/>
  <c r="I381" i="4"/>
  <c r="I405" i="4"/>
  <c r="I429" i="4"/>
  <c r="I46" i="4"/>
  <c r="I70" i="4"/>
  <c r="I94" i="4"/>
  <c r="I118" i="4"/>
  <c r="I142" i="4"/>
  <c r="I166" i="4"/>
  <c r="I190" i="4"/>
  <c r="I214" i="4"/>
  <c r="I238" i="4"/>
  <c r="I262" i="4"/>
  <c r="I286" i="4"/>
  <c r="I310" i="4"/>
  <c r="I334" i="4"/>
  <c r="I358" i="4"/>
  <c r="I382" i="4"/>
  <c r="I406" i="4"/>
  <c r="I430" i="4"/>
  <c r="I47" i="4"/>
  <c r="I71" i="4"/>
  <c r="I95" i="4"/>
  <c r="I119" i="4"/>
  <c r="I143" i="4"/>
  <c r="I167" i="4"/>
  <c r="I191" i="4"/>
  <c r="I215" i="4"/>
  <c r="I239" i="4"/>
  <c r="I263" i="4"/>
  <c r="I287" i="4"/>
  <c r="I311" i="4"/>
  <c r="I335" i="4"/>
  <c r="I359" i="4"/>
  <c r="I383" i="4"/>
  <c r="I407" i="4"/>
  <c r="I431" i="4"/>
  <c r="I48" i="4"/>
  <c r="I72" i="4"/>
  <c r="I96" i="4"/>
  <c r="I120" i="4"/>
  <c r="I144" i="4"/>
  <c r="I168" i="4"/>
  <c r="I192" i="4"/>
  <c r="I216" i="4"/>
  <c r="I240" i="4"/>
  <c r="I264" i="4"/>
  <c r="I288" i="4"/>
  <c r="I312" i="4"/>
  <c r="I336" i="4"/>
  <c r="I360" i="4"/>
  <c r="I384" i="4"/>
  <c r="I408" i="4"/>
  <c r="I432" i="4"/>
  <c r="I49" i="4"/>
  <c r="I73" i="4"/>
  <c r="I97" i="4"/>
  <c r="I121" i="4"/>
  <c r="I145" i="4"/>
  <c r="I169" i="4"/>
  <c r="I193" i="4"/>
  <c r="I217" i="4"/>
  <c r="I241" i="4"/>
  <c r="I265" i="4"/>
  <c r="I289" i="4"/>
  <c r="I313" i="4"/>
  <c r="I337" i="4"/>
  <c r="I361" i="4"/>
  <c r="I385" i="4"/>
  <c r="I409" i="4"/>
  <c r="I50" i="4"/>
  <c r="I74" i="4"/>
  <c r="I98" i="4"/>
  <c r="I122" i="4"/>
  <c r="I146" i="4"/>
  <c r="I170" i="4"/>
  <c r="I194" i="4"/>
  <c r="I218" i="4"/>
  <c r="I242" i="4"/>
  <c r="I266" i="4"/>
  <c r="I290" i="4"/>
  <c r="I314" i="4"/>
  <c r="I338" i="4"/>
  <c r="I362" i="4"/>
  <c r="I386" i="4"/>
  <c r="I410" i="4"/>
  <c r="I51" i="4"/>
  <c r="I75" i="4"/>
  <c r="I99" i="4"/>
  <c r="I123" i="4"/>
  <c r="I147" i="4"/>
  <c r="I171" i="4"/>
  <c r="I195" i="4"/>
  <c r="I219" i="4"/>
  <c r="I243" i="4"/>
  <c r="I267" i="4"/>
  <c r="I291" i="4"/>
  <c r="I315" i="4"/>
  <c r="I339" i="4"/>
  <c r="I363" i="4"/>
  <c r="I387" i="4"/>
  <c r="I411" i="4"/>
  <c r="I52" i="4"/>
  <c r="I76" i="4"/>
  <c r="I100" i="4"/>
  <c r="I124" i="4"/>
  <c r="I148" i="4"/>
  <c r="I172" i="4"/>
  <c r="I196" i="4"/>
  <c r="I220" i="4"/>
  <c r="I244" i="4"/>
  <c r="I268" i="4"/>
  <c r="I292" i="4"/>
  <c r="I316" i="4"/>
  <c r="I340" i="4"/>
  <c r="I364" i="4"/>
  <c r="I388" i="4"/>
  <c r="I412" i="4"/>
  <c r="I53" i="4"/>
  <c r="I77" i="4"/>
  <c r="I101" i="4"/>
  <c r="I125" i="4"/>
  <c r="I149" i="4"/>
  <c r="I173" i="4"/>
  <c r="I197" i="4"/>
  <c r="I221" i="4"/>
  <c r="I245" i="4"/>
  <c r="I269" i="4"/>
  <c r="I293" i="4"/>
  <c r="I317" i="4"/>
  <c r="I341" i="4"/>
  <c r="I365" i="4"/>
  <c r="I389" i="4"/>
  <c r="I413" i="4"/>
  <c r="I54" i="4"/>
  <c r="I78" i="4"/>
  <c r="I102" i="4"/>
  <c r="I126" i="4"/>
  <c r="I150" i="4"/>
  <c r="I174" i="4"/>
  <c r="I198" i="4"/>
  <c r="I222" i="4"/>
  <c r="I246" i="4"/>
  <c r="I270" i="4"/>
  <c r="I294" i="4"/>
  <c r="I318" i="4"/>
  <c r="I342" i="4"/>
  <c r="I366" i="4"/>
  <c r="I390" i="4"/>
  <c r="I414" i="4"/>
  <c r="I55" i="4"/>
  <c r="I79" i="4"/>
  <c r="I103" i="4"/>
  <c r="I127" i="4"/>
  <c r="I151" i="4"/>
  <c r="I175" i="4"/>
  <c r="I199" i="4"/>
  <c r="I223" i="4"/>
  <c r="I247" i="4"/>
  <c r="I271" i="4"/>
  <c r="I295" i="4"/>
  <c r="I319" i="4"/>
  <c r="I343" i="4"/>
  <c r="I367" i="4"/>
  <c r="I391" i="4"/>
  <c r="I415" i="4"/>
  <c r="I6" i="4"/>
  <c r="I7" i="4"/>
  <c r="I31" i="4"/>
  <c r="I15" i="4"/>
  <c r="I27" i="4"/>
  <c r="I8" i="4"/>
  <c r="I32" i="4"/>
  <c r="I25" i="4"/>
  <c r="I9" i="4"/>
  <c r="I16" i="4"/>
  <c r="I10" i="4"/>
  <c r="I14" i="4"/>
  <c r="I11" i="4"/>
  <c r="I12" i="4"/>
  <c r="I13" i="4"/>
  <c r="I17" i="4"/>
  <c r="I18" i="4"/>
  <c r="I19" i="4"/>
  <c r="I20" i="4"/>
  <c r="I22" i="4"/>
  <c r="I26" i="4"/>
  <c r="I21" i="4"/>
  <c r="I23" i="4"/>
  <c r="I24" i="4"/>
  <c r="I28" i="4"/>
  <c r="I29" i="4"/>
  <c r="I30" i="4"/>
  <c r="C7" i="3"/>
  <c r="C9" i="3" s="1"/>
  <c r="C11" i="3" s="1"/>
  <c r="C13" i="3" s="1"/>
  <c r="C15" i="3" s="1"/>
  <c r="C17" i="3" s="1"/>
  <c r="C19" i="3" s="1"/>
  <c r="C21" i="3" s="1"/>
  <c r="C23" i="3" s="1"/>
  <c r="C25" i="3" s="1"/>
  <c r="B7" i="3"/>
  <c r="C3" i="3"/>
  <c r="F25" i="3" l="1"/>
  <c r="C27" i="3"/>
  <c r="F15" i="3"/>
  <c r="G15" i="3" s="1"/>
  <c r="F23" i="3"/>
  <c r="G23" i="3" s="1"/>
  <c r="F7" i="3"/>
  <c r="F11" i="3"/>
  <c r="G11" i="3" s="1"/>
  <c r="F13" i="3"/>
  <c r="G13" i="3" s="1"/>
  <c r="F9" i="3"/>
  <c r="G9" i="3" s="1"/>
  <c r="F17" i="3"/>
  <c r="G17" i="3" s="1"/>
  <c r="F19" i="3"/>
  <c r="G19" i="3" s="1"/>
  <c r="F21" i="3"/>
  <c r="G21" i="3" s="1"/>
  <c r="F8" i="3"/>
  <c r="F16" i="3"/>
  <c r="F12" i="3"/>
  <c r="F18" i="3"/>
  <c r="F14" i="3"/>
  <c r="F10" i="3"/>
  <c r="F24" i="3"/>
  <c r="F27" i="3" l="1"/>
  <c r="G27" i="3" s="1"/>
  <c r="C29" i="3"/>
  <c r="F29" i="3" s="1"/>
  <c r="G29" i="3" s="1"/>
  <c r="G7" i="3"/>
  <c r="G25" i="3"/>
  <c r="F20" i="3"/>
  <c r="F31" i="3" s="1"/>
  <c r="F26" i="3"/>
  <c r="F22" i="3"/>
  <c r="G3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<sst xmlns="http://schemas.openxmlformats.org/spreadsheetml/2006/main" count="1823" uniqueCount="632">
  <si>
    <t>구성도</t>
  </si>
  <si>
    <t>설명도</t>
  </si>
  <si>
    <t>NO.</t>
    <phoneticPr fontId="13" type="noConversion"/>
  </si>
  <si>
    <t>도안 번호</t>
    <phoneticPr fontId="15" type="noConversion"/>
  </si>
  <si>
    <t>명        칭</t>
  </si>
  <si>
    <t>비고</t>
    <phoneticPr fontId="18" type="noConversion"/>
  </si>
  <si>
    <t>도안작업발주서</t>
  </si>
  <si>
    <t>차         종</t>
    <phoneticPr fontId="15" type="noConversion"/>
  </si>
  <si>
    <t>MANUAL명</t>
  </si>
  <si>
    <t>차종</t>
    <phoneticPr fontId="15" type="noConversion"/>
  </si>
  <si>
    <t>그룹</t>
    <phoneticPr fontId="15" type="noConversion"/>
  </si>
  <si>
    <t>도안 종류</t>
    <phoneticPr fontId="15" type="noConversion"/>
  </si>
  <si>
    <t>단가</t>
    <phoneticPr fontId="15" type="noConversion"/>
  </si>
  <si>
    <t>수량</t>
    <phoneticPr fontId="15" type="noConversion"/>
  </si>
  <si>
    <t>금액</t>
    <phoneticPr fontId="15" type="noConversion"/>
  </si>
  <si>
    <t>비   고</t>
  </si>
  <si>
    <t>합 계</t>
    <phoneticPr fontId="15" type="noConversion"/>
  </si>
  <si>
    <t>: 오너스매뉴얼</t>
    <phoneticPr fontId="15" type="noConversion"/>
  </si>
  <si>
    <t>■ 도안 발주 내역</t>
    <phoneticPr fontId="15" type="noConversion"/>
  </si>
  <si>
    <t>합계</t>
    <phoneticPr fontId="12" type="noConversion"/>
  </si>
  <si>
    <t>-</t>
    <phoneticPr fontId="12" type="noConversion"/>
  </si>
  <si>
    <t>Q</t>
    <phoneticPr fontId="12" type="noConversion"/>
  </si>
  <si>
    <t>요약본</t>
    <phoneticPr fontId="12" type="noConversion"/>
  </si>
  <si>
    <t>안전 장치</t>
  </si>
  <si>
    <t>편의 장치</t>
  </si>
  <si>
    <t>시동 및 주행</t>
  </si>
  <si>
    <t>운전자 보조 시스템</t>
  </si>
  <si>
    <t>정기 점검</t>
  </si>
  <si>
    <t>차량 정보</t>
  </si>
  <si>
    <t>A</t>
    <phoneticPr fontId="12" type="noConversion"/>
  </si>
  <si>
    <t>B</t>
    <phoneticPr fontId="12" type="noConversion"/>
  </si>
  <si>
    <t>도안 종류</t>
  </si>
  <si>
    <t>단가</t>
  </si>
  <si>
    <t>수량</t>
  </si>
  <si>
    <t>금액</t>
  </si>
  <si>
    <t>차종</t>
  </si>
  <si>
    <t>챕터</t>
    <phoneticPr fontId="12" type="noConversion"/>
  </si>
  <si>
    <t>Your vehicle at a glance</t>
  </si>
  <si>
    <t>Safety features of your vehicle</t>
  </si>
  <si>
    <t>Features of your vehicle</t>
  </si>
  <si>
    <t>Driving your vehicle</t>
  </si>
  <si>
    <t>Driver assistance system</t>
  </si>
  <si>
    <t>What to do in an emergency</t>
  </si>
  <si>
    <t>Maintenance</t>
  </si>
  <si>
    <t>Specifications &amp; Consumer information</t>
  </si>
  <si>
    <t>Hybrid system overview</t>
    <phoneticPr fontId="12" type="noConversion"/>
  </si>
  <si>
    <t>Electric vehicle guide</t>
    <phoneticPr fontId="12" type="noConversion"/>
  </si>
  <si>
    <t>Introduction</t>
    <phoneticPr fontId="12" type="noConversion"/>
  </si>
  <si>
    <t>Infotainment system</t>
    <phoneticPr fontId="12" type="noConversion"/>
  </si>
  <si>
    <t>Vehicle safety controls</t>
  </si>
  <si>
    <t>Vehicle controls</t>
  </si>
  <si>
    <t>Vehicle driving controls</t>
  </si>
  <si>
    <t>Driver assistance guide</t>
  </si>
  <si>
    <t>그림목차/안전 주의 사항</t>
    <phoneticPr fontId="51" type="noConversion"/>
  </si>
  <si>
    <t>비상시 응급 조치</t>
    <phoneticPr fontId="51" type="noConversion"/>
  </si>
  <si>
    <t>비상시 응급조치</t>
    <phoneticPr fontId="12" type="noConversion"/>
  </si>
  <si>
    <r>
      <t>그림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기아 Medium"/>
        <family val="2"/>
        <charset val="129"/>
      </rPr>
      <t>목차/안전 주의 사항</t>
    </r>
    <phoneticPr fontId="12" type="noConversion"/>
  </si>
  <si>
    <t>Specifications, Consumer information and Reporting safety defects</t>
    <phoneticPr fontId="12" type="noConversion"/>
  </si>
  <si>
    <t>Specifications and Consumer information</t>
  </si>
  <si>
    <t>Safety features of your Kia</t>
    <phoneticPr fontId="12" type="noConversion"/>
  </si>
  <si>
    <t>Specifications &amp; Consumer information</t>
    <phoneticPr fontId="12" type="noConversion"/>
  </si>
  <si>
    <t>OMVQ014018</t>
  </si>
  <si>
    <t>OMVQ014019</t>
  </si>
  <si>
    <t>OMVQ014020</t>
  </si>
  <si>
    <t>OMVQ014021</t>
  </si>
  <si>
    <t>OMVQ014022</t>
  </si>
  <si>
    <t>OSVQ014116</t>
  </si>
  <si>
    <t>OSVQ014115</t>
  </si>
  <si>
    <t>OSVQ014117</t>
  </si>
  <si>
    <t>OSVQ014119</t>
  </si>
  <si>
    <t>OSVQ014118</t>
  </si>
  <si>
    <t>OMVQ014027</t>
  </si>
  <si>
    <t>OSVQ014019</t>
  </si>
  <si>
    <t>OSVQ014071_4</t>
  </si>
  <si>
    <t>OMVQ014095</t>
  </si>
  <si>
    <t>OSVQ014067</t>
  </si>
  <si>
    <t>OMVQ014028</t>
  </si>
  <si>
    <t>OMVQ014029</t>
  </si>
  <si>
    <t>OSVQ014125</t>
  </si>
  <si>
    <t>OSVQ014126</t>
  </si>
  <si>
    <t>OSVQ014127</t>
  </si>
  <si>
    <t>OMVQ014034</t>
  </si>
  <si>
    <t>OSVQ014028</t>
  </si>
  <si>
    <t>OSVQ014029</t>
  </si>
  <si>
    <t>OSVQ014129</t>
  </si>
  <si>
    <t>OMVQ013001L</t>
  </si>
  <si>
    <t>OMVQ013002L</t>
  </si>
  <si>
    <t>OMVQ013003L</t>
  </si>
  <si>
    <t>OMVQ013004L</t>
  </si>
  <si>
    <t>OMVQ014004</t>
  </si>
  <si>
    <t>OMVQ013005</t>
  </si>
  <si>
    <t>OMVQ013006</t>
  </si>
  <si>
    <t>OMVQ013007</t>
  </si>
  <si>
    <t>OMVQ013008</t>
  </si>
  <si>
    <t>OSVQ014130</t>
  </si>
  <si>
    <t>OMVQ014014</t>
  </si>
  <si>
    <t>OMV013061L</t>
  </si>
  <si>
    <t>OMV033003L</t>
  </si>
  <si>
    <t>OMV034040_2</t>
  </si>
  <si>
    <t>OSVQ014072</t>
  </si>
  <si>
    <t>OMVQ014011</t>
  </si>
  <si>
    <t>OSVQ014073</t>
  </si>
  <si>
    <t>OMVQ014097</t>
  </si>
  <si>
    <t>OCVQ011064_2</t>
  </si>
  <si>
    <t>OSVQ014032</t>
  </si>
  <si>
    <t>OMVQ014012</t>
  </si>
  <si>
    <t>OMVQ014013</t>
  </si>
  <si>
    <t>OMVQ014098</t>
  </si>
  <si>
    <t>OSVQ014080_2</t>
  </si>
  <si>
    <t>OMV013024L</t>
  </si>
  <si>
    <t>OSVQ014075</t>
  </si>
  <si>
    <t>OMVQ014049</t>
  </si>
  <si>
    <t>OMVQ014050</t>
  </si>
  <si>
    <t>OSVQ014134</t>
  </si>
  <si>
    <t>OSVQ014135</t>
  </si>
  <si>
    <t>OSVQ014041</t>
  </si>
  <si>
    <t>OMV064011</t>
  </si>
  <si>
    <t>OMV064012</t>
  </si>
  <si>
    <t>OMV064010_3</t>
  </si>
  <si>
    <t>OMVQ014096</t>
  </si>
  <si>
    <t>OMV034002</t>
  </si>
  <si>
    <t>OMV034500_5</t>
  </si>
  <si>
    <t>OMV054116L_2</t>
  </si>
  <si>
    <t>OMV053228L_2</t>
  </si>
  <si>
    <t>OMV033035L</t>
  </si>
  <si>
    <t>OMV054281L_3</t>
  </si>
  <si>
    <t>OMV034499_9</t>
  </si>
  <si>
    <t>OMV054227L</t>
  </si>
  <si>
    <t>OMV054333L_2</t>
  </si>
  <si>
    <t>OMV044053L_2</t>
  </si>
  <si>
    <t>OMV024015L_2</t>
  </si>
  <si>
    <t>OMV024016L_3</t>
  </si>
  <si>
    <t>OMV024041L_2</t>
  </si>
  <si>
    <t>OMV044054L_2</t>
  </si>
  <si>
    <t>OMV023009</t>
  </si>
  <si>
    <t>OMV023010</t>
  </si>
  <si>
    <t>OMV044057L</t>
  </si>
  <si>
    <t>OMV023017L</t>
  </si>
  <si>
    <t>OMV044078L_2</t>
  </si>
  <si>
    <t>OMV054119L</t>
  </si>
  <si>
    <t>OMV023096_4</t>
  </si>
  <si>
    <t>OMV023044</t>
  </si>
  <si>
    <t>OMV023045</t>
  </si>
  <si>
    <t>OMV023046</t>
  </si>
  <si>
    <t>OMV044108L_6</t>
  </si>
  <si>
    <t>OMV053212L</t>
  </si>
  <si>
    <t>OMV053103L_3</t>
  </si>
  <si>
    <t>OMV034496_3</t>
  </si>
  <si>
    <t>OMV034001_4</t>
  </si>
  <si>
    <t>OMV034504_3</t>
  </si>
  <si>
    <t>OMV034502_6</t>
  </si>
  <si>
    <t>OSW035017</t>
  </si>
  <si>
    <t>OMV034432</t>
  </si>
  <si>
    <t>OSV034045</t>
  </si>
  <si>
    <t>OSV034046</t>
  </si>
  <si>
    <t>OSV034047</t>
  </si>
  <si>
    <t>OMV034117</t>
  </si>
  <si>
    <t>OMV034081</t>
  </si>
  <si>
    <t>OMV034083</t>
  </si>
  <si>
    <t>OMV034084</t>
  </si>
  <si>
    <t>OMV036350</t>
  </si>
  <si>
    <t>OMV034301</t>
  </si>
  <si>
    <t>OMV034302</t>
  </si>
  <si>
    <t>OMV034118</t>
  </si>
  <si>
    <t>OMV034402</t>
  </si>
  <si>
    <t>OMV034518</t>
  </si>
  <si>
    <t>OMV034519_6</t>
  </si>
  <si>
    <t>OMV034411</t>
  </si>
  <si>
    <t>OMV064001L_2</t>
  </si>
  <si>
    <t>OMV044002</t>
  </si>
  <si>
    <t>OMV044003</t>
  </si>
  <si>
    <t>OMV055335L</t>
  </si>
  <si>
    <t>OMV034452</t>
  </si>
  <si>
    <t>OMV034102</t>
  </si>
  <si>
    <t>OSV034189</t>
  </si>
  <si>
    <t>OSV034194</t>
  </si>
  <si>
    <t>OMV064035</t>
  </si>
  <si>
    <t>OMV044005</t>
  </si>
  <si>
    <t>OMV064031L_5</t>
  </si>
  <si>
    <t>OMV064025L</t>
  </si>
  <si>
    <t>OMVGT044001</t>
  </si>
  <si>
    <t>OMV064026L</t>
  </si>
  <si>
    <t>OMV064015L_4</t>
  </si>
  <si>
    <t>OMVGT064001_4</t>
  </si>
  <si>
    <t>OMV034180</t>
  </si>
  <si>
    <t>OMV073220L</t>
  </si>
  <si>
    <t>OMV073221L</t>
  </si>
  <si>
    <t>OMV073222L</t>
  </si>
  <si>
    <t>OMV054004</t>
  </si>
  <si>
    <t>OMV054005</t>
  </si>
  <si>
    <t>OMV054006</t>
  </si>
  <si>
    <t>OMV054007</t>
  </si>
  <si>
    <t>OMV073227L</t>
  </si>
  <si>
    <t>OMV054301</t>
  </si>
  <si>
    <t>OMV054302</t>
  </si>
  <si>
    <t>OMV054303</t>
  </si>
  <si>
    <t>OMV054304</t>
  </si>
  <si>
    <t>OMV054306</t>
  </si>
  <si>
    <t>OMV073244L</t>
  </si>
  <si>
    <t>OMV073245L</t>
  </si>
  <si>
    <t>OMV073246L</t>
  </si>
  <si>
    <t>OMV054308</t>
  </si>
  <si>
    <t>OMV073258L_2</t>
  </si>
  <si>
    <t>OMV054307</t>
  </si>
  <si>
    <t>OMV054183</t>
  </si>
  <si>
    <t>OMV073129L</t>
  </si>
  <si>
    <t>OMV073130L</t>
  </si>
  <si>
    <t>OMV054184</t>
  </si>
  <si>
    <t>OMV073132L</t>
  </si>
  <si>
    <t>OMV073133L_3</t>
  </si>
  <si>
    <t>OMV054318</t>
  </si>
  <si>
    <t>OMV054337</t>
  </si>
  <si>
    <t>OMV054320</t>
  </si>
  <si>
    <t>OMV054322</t>
  </si>
  <si>
    <t>OMV054321</t>
  </si>
  <si>
    <t>OMV073239L</t>
  </si>
  <si>
    <t>OMV073170L</t>
  </si>
  <si>
    <t>OMV073171L</t>
  </si>
  <si>
    <t>OMV054309</t>
  </si>
  <si>
    <t>OMV054310</t>
  </si>
  <si>
    <t>OMV054313</t>
  </si>
  <si>
    <t>OMV054314</t>
  </si>
  <si>
    <t>OSV054168</t>
  </si>
  <si>
    <t>OMV054315</t>
  </si>
  <si>
    <t>OMV054323</t>
  </si>
  <si>
    <t>OMV073189L</t>
  </si>
  <si>
    <t>OMV073190L</t>
  </si>
  <si>
    <t>OMV073192L</t>
  </si>
  <si>
    <t>OMV073191L</t>
  </si>
  <si>
    <t>OMV073193L</t>
  </si>
  <si>
    <t>OMV054329</t>
  </si>
  <si>
    <t>OMV054330</t>
  </si>
  <si>
    <t>OOV055276</t>
  </si>
  <si>
    <t>OMV064028L</t>
  </si>
  <si>
    <t>OMV064037</t>
  </si>
  <si>
    <t>OSV034188</t>
  </si>
  <si>
    <t>OSV034187</t>
  </si>
  <si>
    <t>OSV034186</t>
  </si>
  <si>
    <t>OMV034107</t>
  </si>
  <si>
    <t>OSV034184</t>
  </si>
  <si>
    <t>OSV034183</t>
  </si>
  <si>
    <t>OSV034182</t>
  </si>
  <si>
    <t>OMV034111</t>
  </si>
  <si>
    <t>OMV034068</t>
  </si>
  <si>
    <t>OMV034069</t>
  </si>
  <si>
    <t>OSV034180</t>
  </si>
  <si>
    <t>OSV034195</t>
  </si>
  <si>
    <t>OSV034171</t>
  </si>
  <si>
    <t>OSV034179</t>
  </si>
  <si>
    <t>OMV064040_2</t>
  </si>
  <si>
    <t>OMV064004</t>
  </si>
  <si>
    <t>OMV064005</t>
  </si>
  <si>
    <t>OMV084034L</t>
  </si>
  <si>
    <t>OMV084042L_5</t>
  </si>
  <si>
    <t>OMV064017</t>
  </si>
  <si>
    <t>OMV064008</t>
  </si>
  <si>
    <t>OMV083035L_2</t>
  </si>
  <si>
    <t>OMV063008</t>
  </si>
  <si>
    <t>OSV064018</t>
  </si>
  <si>
    <t>OMV094024L_5</t>
  </si>
  <si>
    <t>OMV074009</t>
  </si>
  <si>
    <t>OSV074027</t>
  </si>
  <si>
    <t>OSV074038</t>
  </si>
  <si>
    <t>OMV093004L_5</t>
  </si>
  <si>
    <t>OMV034004L</t>
  </si>
  <si>
    <t>OMV034005L_2</t>
  </si>
  <si>
    <t>OMVGT014003_2</t>
  </si>
  <si>
    <t>OMV034006L</t>
  </si>
  <si>
    <t>OMV034007L</t>
  </si>
  <si>
    <t>OMV034039L_3</t>
  </si>
  <si>
    <t>OMV014006_4</t>
  </si>
  <si>
    <t>OMV094033L_2</t>
  </si>
  <si>
    <t>OSV024056</t>
  </si>
  <si>
    <t>OSVQ014062</t>
  </si>
  <si>
    <t>OMV024194_2</t>
  </si>
  <si>
    <t>OSVQ014064</t>
  </si>
  <si>
    <t>OMV024012L_4</t>
  </si>
  <si>
    <t>OMV044052L_10</t>
  </si>
  <si>
    <t>OMV024013L_9</t>
  </si>
  <si>
    <t>OMV034037L_7</t>
  </si>
  <si>
    <t>OMV024084</t>
  </si>
  <si>
    <t>OMV024110</t>
  </si>
  <si>
    <t>OMVGT044001_2</t>
  </si>
  <si>
    <t>OMV024087</t>
  </si>
  <si>
    <t>OMV024198_2</t>
  </si>
  <si>
    <t>OMV024199</t>
  </si>
  <si>
    <t>OMV024009</t>
  </si>
  <si>
    <t>OMV024111</t>
  </si>
  <si>
    <t>OMV034013L</t>
  </si>
  <si>
    <t>OMV044081L_3</t>
  </si>
  <si>
    <t>OMVGT044002_3</t>
  </si>
  <si>
    <t>OMV024088</t>
  </si>
  <si>
    <t>OMV024089</t>
  </si>
  <si>
    <t>OMV024042L_2</t>
  </si>
  <si>
    <t>OMV024018</t>
  </si>
  <si>
    <t>OMV044095L</t>
  </si>
  <si>
    <t>OMV034042L_2</t>
  </si>
  <si>
    <t>OMV033011L</t>
  </si>
  <si>
    <t>OMV044065L_4</t>
  </si>
  <si>
    <t>OMV024023_2</t>
  </si>
  <si>
    <t>OMV023025</t>
  </si>
  <si>
    <t>OMV024123</t>
  </si>
  <si>
    <t>OMV024151</t>
  </si>
  <si>
    <t>OMV043103L_2</t>
  </si>
  <si>
    <t>OMV024193</t>
  </si>
  <si>
    <t>OMV024043L_2</t>
  </si>
  <si>
    <t>OMV024117</t>
  </si>
  <si>
    <t>OMV044096L</t>
  </si>
  <si>
    <t>OMV024014_2</t>
  </si>
  <si>
    <t>OMV023161</t>
  </si>
  <si>
    <t>OMV034014L_2</t>
  </si>
  <si>
    <t>OMV024145C</t>
  </si>
  <si>
    <t>OMV044071L</t>
  </si>
  <si>
    <t>OMV044097L</t>
  </si>
  <si>
    <t>OMV024153</t>
  </si>
  <si>
    <t>OMV044119L_2</t>
  </si>
  <si>
    <t>OMV024020L_2</t>
  </si>
  <si>
    <t>OMV044098L</t>
  </si>
  <si>
    <t>OMV044063L_2</t>
  </si>
  <si>
    <t>OMV044073L</t>
  </si>
  <si>
    <t>OMV044074L</t>
  </si>
  <si>
    <t>OMV044075L</t>
  </si>
  <si>
    <t>OMV044076L</t>
  </si>
  <si>
    <t>OMV044077L</t>
  </si>
  <si>
    <t>OMV034012L</t>
  </si>
  <si>
    <t>OMV024036</t>
  </si>
  <si>
    <t>OSV024015</t>
  </si>
  <si>
    <t>OMV024192</t>
  </si>
  <si>
    <t>OSV024052</t>
  </si>
  <si>
    <t>OMV044099L</t>
  </si>
  <si>
    <t>OMV044100L</t>
  </si>
  <si>
    <t>OMV024094</t>
  </si>
  <si>
    <t>OMV024158</t>
  </si>
  <si>
    <t>OMV024160_2</t>
  </si>
  <si>
    <t>OMV043121L</t>
  </si>
  <si>
    <t>OMV044122L_2</t>
  </si>
  <si>
    <t>OMV024023L</t>
  </si>
  <si>
    <t>OMV024148</t>
  </si>
  <si>
    <t>OSV024055</t>
  </si>
  <si>
    <t>OMV024191_3</t>
  </si>
  <si>
    <t>OMV024099</t>
  </si>
  <si>
    <t>OMV024100</t>
  </si>
  <si>
    <t>OMV024101</t>
  </si>
  <si>
    <t>OMV024102</t>
  </si>
  <si>
    <t>OMV024103</t>
  </si>
  <si>
    <t>OMV024104</t>
  </si>
  <si>
    <t>OMV024105</t>
  </si>
  <si>
    <t>OMV024107</t>
  </si>
  <si>
    <t>OMV024108</t>
  </si>
  <si>
    <t>OMV024109</t>
  </si>
  <si>
    <t>OMV043090L</t>
  </si>
  <si>
    <t>OMV044091L_2</t>
  </si>
  <si>
    <t>OMV044093L_2</t>
  </si>
  <si>
    <t>OMV044123L_6</t>
  </si>
  <si>
    <t>OMV023025L</t>
  </si>
  <si>
    <t>OMV024052BR</t>
  </si>
  <si>
    <t>OMV023028L</t>
  </si>
  <si>
    <t>OMV023027L</t>
  </si>
  <si>
    <t>OMV023030L</t>
  </si>
  <si>
    <t>OMV023029L</t>
  </si>
  <si>
    <t>OMV023031L</t>
  </si>
  <si>
    <t>OMV023032L</t>
  </si>
  <si>
    <t>OMV043101L_2</t>
  </si>
  <si>
    <t>OSV034089_2</t>
  </si>
  <si>
    <t>OSV034403</t>
  </si>
  <si>
    <t>OMV034005</t>
  </si>
  <si>
    <t>OMV034006</t>
  </si>
  <si>
    <t>OMV034007</t>
  </si>
  <si>
    <t>OSV034404</t>
  </si>
  <si>
    <t>OSV034405</t>
  </si>
  <si>
    <t>OSV034402</t>
  </si>
  <si>
    <t>OMV034008</t>
  </si>
  <si>
    <t>OSV034407</t>
  </si>
  <si>
    <t>OMV054101L</t>
  </si>
  <si>
    <t>OMV034010</t>
  </si>
  <si>
    <t>OMV054103L_3</t>
  </si>
  <si>
    <t>OMV034015</t>
  </si>
  <si>
    <t>OMV034019</t>
  </si>
  <si>
    <t>OMV034020</t>
  </si>
  <si>
    <t>OMV034497_3</t>
  </si>
  <si>
    <t>OMV034021</t>
  </si>
  <si>
    <t>OMV034178</t>
  </si>
  <si>
    <t>OMV053241L</t>
  </si>
  <si>
    <t>OMV053242L</t>
  </si>
  <si>
    <t>OMV034033</t>
  </si>
  <si>
    <t>OMV034032</t>
  </si>
  <si>
    <t>OMV054115L_2</t>
  </si>
  <si>
    <t>OMV034041</t>
  </si>
  <si>
    <t>OMV033017L</t>
  </si>
  <si>
    <t>OMV034042</t>
  </si>
  <si>
    <t>OMV034501</t>
  </si>
  <si>
    <t>OMV034434</t>
  </si>
  <si>
    <t>OMV034414</t>
  </si>
  <si>
    <t>OMV034045_2</t>
  </si>
  <si>
    <t>OMV034044_3</t>
  </si>
  <si>
    <t>OMV053110L_2</t>
  </si>
  <si>
    <t>OMV053221L</t>
  </si>
  <si>
    <t>OMV054222L</t>
  </si>
  <si>
    <t>OMV054120L</t>
  </si>
  <si>
    <t>OMV033022L</t>
  </si>
  <si>
    <t>OMV034503</t>
  </si>
  <si>
    <t>OMV034426</t>
  </si>
  <si>
    <t>OMV034427_2</t>
  </si>
  <si>
    <t>OMV053234L</t>
  </si>
  <si>
    <t>OMV034439</t>
  </si>
  <si>
    <t>OMV053236L_2</t>
  </si>
  <si>
    <t>OMV053237L</t>
  </si>
  <si>
    <t>OMV034055_2</t>
  </si>
  <si>
    <t>OMV033023L_2</t>
  </si>
  <si>
    <t>OMV043024L</t>
  </si>
  <si>
    <t>OMV033025L_2</t>
  </si>
  <si>
    <t>OMV033026L</t>
  </si>
  <si>
    <t>OMV034065</t>
  </si>
  <si>
    <t>OMV034066</t>
  </si>
  <si>
    <t>OSV034191</t>
  </si>
  <si>
    <t>OSV034193</t>
  </si>
  <si>
    <t>OMV034520</t>
  </si>
  <si>
    <t>OSV034178</t>
  </si>
  <si>
    <t>OSV034177</t>
  </si>
  <si>
    <t>OSV034175</t>
  </si>
  <si>
    <t>OSV034044</t>
  </si>
  <si>
    <t>OMV034152</t>
  </si>
  <si>
    <t>OMV034506</t>
  </si>
  <si>
    <t>OMV034075</t>
  </si>
  <si>
    <t>OMV034423</t>
  </si>
  <si>
    <t>OMV054042L</t>
  </si>
  <si>
    <t>OMV054043L_2</t>
  </si>
  <si>
    <t>OMV054045L</t>
  </si>
  <si>
    <t>OMV054268L</t>
  </si>
  <si>
    <t>OMV054044L</t>
  </si>
  <si>
    <t>OMV036521_2</t>
  </si>
  <si>
    <t>OMV054041L</t>
  </si>
  <si>
    <t>OMV034349</t>
  </si>
  <si>
    <t>OMV034348_3</t>
  </si>
  <si>
    <t>OMV053258L</t>
  </si>
  <si>
    <t>OMV054144L_3</t>
  </si>
  <si>
    <t>OMV053257L_2</t>
  </si>
  <si>
    <t>OMV053256L_2</t>
  </si>
  <si>
    <t>OMV033323</t>
  </si>
  <si>
    <t>OMV033320</t>
  </si>
  <si>
    <t>OMV033322</t>
  </si>
  <si>
    <t>OMV033318</t>
  </si>
  <si>
    <t>OMV033321</t>
  </si>
  <si>
    <t>OMV033316</t>
  </si>
  <si>
    <t>OMV053255L_2</t>
  </si>
  <si>
    <t>OMV053253L</t>
  </si>
  <si>
    <t>OMV053254L</t>
  </si>
  <si>
    <t>OMV053252L_3</t>
  </si>
  <si>
    <t>OMV034347_3</t>
  </si>
  <si>
    <t>OMV034332</t>
  </si>
  <si>
    <t>OMV034435</t>
  </si>
  <si>
    <t>OMV053160L</t>
  </si>
  <si>
    <t>OMV034334</t>
  </si>
  <si>
    <t>OMV034335</t>
  </si>
  <si>
    <t>OMV034431</t>
  </si>
  <si>
    <t>OMV053172L_3</t>
  </si>
  <si>
    <t>OMV053064L_4</t>
  </si>
  <si>
    <t>OMV034092</t>
  </si>
  <si>
    <t>OMV053173L</t>
  </si>
  <si>
    <t>OMV053174L</t>
  </si>
  <si>
    <t>OMV053164L_3</t>
  </si>
  <si>
    <t>OMV053166L_2</t>
  </si>
  <si>
    <t>OMV054165L</t>
  </si>
  <si>
    <t>OMV036518</t>
  </si>
  <si>
    <t>OMV036519_6</t>
  </si>
  <si>
    <t>OMV054167L_3</t>
  </si>
  <si>
    <t>OMV053168L</t>
  </si>
  <si>
    <t>OMV053060L</t>
  </si>
  <si>
    <t>N_CT25C119_1</t>
  </si>
  <si>
    <t>OMV034406</t>
  </si>
  <si>
    <t>OMV034507_2</t>
  </si>
  <si>
    <t>OMV054070L_3</t>
  </si>
  <si>
    <t>OMV034505_3</t>
  </si>
  <si>
    <t>OMV034087</t>
  </si>
  <si>
    <t>OSV034069</t>
  </si>
  <si>
    <t>OMV063017L</t>
  </si>
  <si>
    <t>OMV034510</t>
  </si>
  <si>
    <t>OSVQ014128</t>
  </si>
  <si>
    <t>OMV044010</t>
  </si>
  <si>
    <t>OSV054288</t>
  </si>
  <si>
    <t>OMV063020L</t>
  </si>
  <si>
    <t>OMV044012</t>
  </si>
  <si>
    <t>OMV063021L</t>
  </si>
  <si>
    <t>OMV063022L</t>
  </si>
  <si>
    <t>OMV063023L</t>
  </si>
  <si>
    <t>OMV064014L</t>
  </si>
  <si>
    <t>OMV046065</t>
  </si>
  <si>
    <t>OMV064035L</t>
  </si>
  <si>
    <t>OMVGT044002</t>
  </si>
  <si>
    <t>OMV064027L</t>
  </si>
  <si>
    <t>OMV044059</t>
  </si>
  <si>
    <t>OMV063038L</t>
  </si>
  <si>
    <t>OMV063037L</t>
  </si>
  <si>
    <t>OMV056365</t>
  </si>
  <si>
    <t>OMV056366</t>
  </si>
  <si>
    <t>OMVGT056004</t>
  </si>
  <si>
    <t>OMV056367</t>
  </si>
  <si>
    <t>OMV056368</t>
  </si>
  <si>
    <t>OMV054305</t>
  </si>
  <si>
    <t>OMV054330L</t>
  </si>
  <si>
    <t>OMV054331L</t>
  </si>
  <si>
    <t>OMV054332L</t>
  </si>
  <si>
    <t>OMV073234L_4</t>
  </si>
  <si>
    <t>OMV073235L_4</t>
  </si>
  <si>
    <t>OMV073236L_4</t>
  </si>
  <si>
    <t>OSV054298</t>
  </si>
  <si>
    <t>OSV054185</t>
  </si>
  <si>
    <t>OMV073160L_2</t>
  </si>
  <si>
    <t>OMV073249L_4</t>
  </si>
  <si>
    <t>OMV073250L</t>
  </si>
  <si>
    <t>OMV073251L</t>
  </si>
  <si>
    <t>OMV073252L_2</t>
  </si>
  <si>
    <t>OMV073253L</t>
  </si>
  <si>
    <t>OMV073254L</t>
  </si>
  <si>
    <t>OSV054292</t>
  </si>
  <si>
    <t>OSV054293</t>
  </si>
  <si>
    <t>OSV054294</t>
  </si>
  <si>
    <t>OSV054295</t>
  </si>
  <si>
    <t>OSV054296</t>
  </si>
  <si>
    <t>OMV073145L</t>
  </si>
  <si>
    <t>OMV073146L</t>
  </si>
  <si>
    <t>OMV073100L</t>
  </si>
  <si>
    <t>OMV073154L</t>
  </si>
  <si>
    <t>OMV073124L</t>
  </si>
  <si>
    <t>OMV073151L</t>
  </si>
  <si>
    <t>OMV073152L</t>
  </si>
  <si>
    <t>OMV054190</t>
  </si>
  <si>
    <t>OMV054191</t>
  </si>
  <si>
    <t>OMV054230</t>
  </si>
  <si>
    <t>OMV073266L</t>
  </si>
  <si>
    <t>OMV073156L</t>
  </si>
  <si>
    <t>OMV073157L</t>
  </si>
  <si>
    <t>OSV054151</t>
  </si>
  <si>
    <t>OMV073161L</t>
  </si>
  <si>
    <t>OSV054153</t>
  </si>
  <si>
    <t>OMV073163L</t>
  </si>
  <si>
    <t>OSV054155</t>
  </si>
  <si>
    <t>OMV073270L</t>
  </si>
  <si>
    <t>OMV054198</t>
  </si>
  <si>
    <t>OMV054199</t>
  </si>
  <si>
    <t>OMV034508</t>
  </si>
  <si>
    <t>OSV054162</t>
  </si>
  <si>
    <t>OSV054163</t>
  </si>
  <si>
    <t>OSV054312</t>
  </si>
  <si>
    <t>OMV054062</t>
  </si>
  <si>
    <t>OMV054335</t>
  </si>
  <si>
    <t>OMV054336</t>
  </si>
  <si>
    <t>OMV074284L</t>
  </si>
  <si>
    <t>OMV054316</t>
  </si>
  <si>
    <t>OMV054352_4</t>
  </si>
  <si>
    <t>OMV054339_4</t>
  </si>
  <si>
    <t>OMV054067</t>
  </si>
  <si>
    <t>OMV073181L</t>
  </si>
  <si>
    <t>OMV073182L</t>
  </si>
  <si>
    <t>OMV073183L</t>
  </si>
  <si>
    <t>OMV054071</t>
  </si>
  <si>
    <t>OMV073184L</t>
  </si>
  <si>
    <t>OMV054317</t>
  </si>
  <si>
    <t>OMV054073</t>
  </si>
  <si>
    <t>OMV054215</t>
  </si>
  <si>
    <t>OMV054340</t>
  </si>
  <si>
    <t>OMV054216</t>
  </si>
  <si>
    <t>OMV054341</t>
  </si>
  <si>
    <t>OMV054217</t>
  </si>
  <si>
    <t>OMV054342</t>
  </si>
  <si>
    <t>OMV054218</t>
  </si>
  <si>
    <t>OMV054346</t>
  </si>
  <si>
    <t>OMV054219</t>
  </si>
  <si>
    <t>OMV054347</t>
  </si>
  <si>
    <t>OMV054220</t>
  </si>
  <si>
    <t>OMV054348</t>
  </si>
  <si>
    <t>OMV054201</t>
  </si>
  <si>
    <t>OMV054202</t>
  </si>
  <si>
    <t>OMV054203</t>
  </si>
  <si>
    <t>WKIA_094</t>
  </si>
  <si>
    <t>OMV054343</t>
  </si>
  <si>
    <t>WKIA_096</t>
  </si>
  <si>
    <t>OMV054344</t>
  </si>
  <si>
    <t>WKIA_098</t>
  </si>
  <si>
    <t>OMV054345</t>
  </si>
  <si>
    <t>OMV054207</t>
  </si>
  <si>
    <t>OMV054208</t>
  </si>
  <si>
    <t>OMV054209</t>
  </si>
  <si>
    <t>OSV054181_2</t>
  </si>
  <si>
    <t>OMV054349_2</t>
  </si>
  <si>
    <t>OMV054325</t>
  </si>
  <si>
    <t>OMV054082</t>
  </si>
  <si>
    <t>OMV054083</t>
  </si>
  <si>
    <t>OMV073207L</t>
  </si>
  <si>
    <t>OMV073208L</t>
  </si>
  <si>
    <t>OMV076209</t>
  </si>
  <si>
    <t>OMV073210L</t>
  </si>
  <si>
    <t>OMV073272L</t>
  </si>
  <si>
    <t>OMV073212L</t>
  </si>
  <si>
    <t>OMV073213L</t>
  </si>
  <si>
    <t>OMV073214L</t>
  </si>
  <si>
    <t>OMV073215L</t>
  </si>
  <si>
    <t>OMV073216L</t>
  </si>
  <si>
    <t>OMV064001</t>
  </si>
  <si>
    <t>OMV064013</t>
  </si>
  <si>
    <t>OMV084018L</t>
  </si>
  <si>
    <t>OMV084036L_3</t>
  </si>
  <si>
    <t>OMV064032</t>
  </si>
  <si>
    <t>OMV093034L</t>
    <phoneticPr fontId="51" type="noConversion"/>
  </si>
  <si>
    <t>OMV093032L</t>
  </si>
  <si>
    <t>OMV093035L</t>
  </si>
  <si>
    <t>OMV074012</t>
  </si>
  <si>
    <t>OMV094027L</t>
  </si>
  <si>
    <t>OSV074041</t>
  </si>
  <si>
    <t>OSV074042_2</t>
  </si>
  <si>
    <t>OSV074043_2</t>
  </si>
  <si>
    <t>OMV094029L_4</t>
  </si>
  <si>
    <t>OMV093029L_4</t>
  </si>
  <si>
    <t>OMV074016</t>
  </si>
  <si>
    <t>OMV074017</t>
  </si>
  <si>
    <t>OMV074018</t>
  </si>
  <si>
    <t>OMV094040L</t>
  </si>
  <si>
    <t>OMV074042</t>
  </si>
  <si>
    <t>OMV074036</t>
  </si>
  <si>
    <t>OMV074020</t>
  </si>
  <si>
    <t>OMV074039</t>
  </si>
  <si>
    <t>OMV094045L_3</t>
  </si>
  <si>
    <t>OMV094046L</t>
  </si>
  <si>
    <t>OMV094047L_2</t>
  </si>
  <si>
    <t>KIAPB001</t>
  </si>
  <si>
    <t>OMV103007L_2</t>
  </si>
  <si>
    <t>OMV084002</t>
  </si>
  <si>
    <t>OMV103009L_4</t>
  </si>
  <si>
    <t>요약본</t>
    <phoneticPr fontId="51" type="noConversion"/>
  </si>
  <si>
    <t>요약본</t>
  </si>
  <si>
    <t>비상시 응급 조치</t>
  </si>
  <si>
    <t>정기 점검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</si>
</sst>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₩&quot;#,##0"/>
    <numFmt numFmtId="177" formatCode="_ * #,##0.00_ ;_ * \-#,##0.00_ ;_ * &quot;-&quot;??_ ;_ @_ "/>
  </numFmts>
  <fonts count="53">
    <font>
      <sz val="11"/>
      <color theme="1"/>
      <name val="기아 Medium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기아 Medium"/>
      <family val="2"/>
      <charset val="129"/>
    </font>
    <font>
      <sz val="11"/>
      <name val="돋움"/>
      <family val="3"/>
      <charset val="129"/>
    </font>
    <font>
      <sz val="20"/>
      <name val="기아 Medium"/>
      <family val="3"/>
      <charset val="129"/>
    </font>
    <font>
      <sz val="8"/>
      <name val="기아 Medium"/>
      <family val="2"/>
      <charset val="129"/>
    </font>
    <font>
      <sz val="8"/>
      <name val="돋움"/>
      <family val="3"/>
      <charset val="129"/>
    </font>
    <font>
      <sz val="11"/>
      <name val="기아 Medium"/>
      <family val="3"/>
      <charset val="129"/>
    </font>
    <font>
      <sz val="6"/>
      <name val="돋움"/>
      <family val="3"/>
      <charset val="129"/>
    </font>
    <font>
      <sz val="10"/>
      <name val="기아 Medium"/>
      <family val="3"/>
      <charset val="129"/>
    </font>
    <font>
      <sz val="9"/>
      <name val="기아 Medium"/>
      <family val="3"/>
      <charset val="129"/>
    </font>
    <font>
      <sz val="8"/>
      <name val="굴림"/>
      <family val="3"/>
      <charset val="129"/>
    </font>
    <font>
      <sz val="10"/>
      <color indexed="8"/>
      <name val="맑은 고딕"/>
      <family val="3"/>
      <charset val="129"/>
    </font>
    <font>
      <b/>
      <u/>
      <sz val="28"/>
      <name val="기아 Medium"/>
      <family val="3"/>
      <charset val="129"/>
    </font>
    <font>
      <b/>
      <sz val="12"/>
      <name val="기아 Medium"/>
      <family val="3"/>
      <charset val="129"/>
    </font>
    <font>
      <b/>
      <sz val="11"/>
      <name val="기아 Medium"/>
      <family val="3"/>
      <charset val="129"/>
    </font>
    <font>
      <sz val="12"/>
      <name val="기아 Medium"/>
      <family val="3"/>
      <charset val="129"/>
    </font>
    <font>
      <sz val="10.5"/>
      <name val="기아 Medium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2"/>
      <name val="돋움체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0"/>
      <name val="Arial"/>
      <family val="2"/>
    </font>
    <font>
      <sz val="12"/>
      <name val="System"/>
      <family val="2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기아 Medium"/>
      <family val="3"/>
      <charset val="129"/>
    </font>
    <font>
      <sz val="9"/>
      <name val="기아 Medium"/>
      <charset val="129"/>
    </font>
    <font>
      <sz val="11"/>
      <name val="기아 시그니처 OTF Light"/>
      <family val="3"/>
      <charset val="129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새굴림"/>
      <family val="3"/>
      <charset val="129"/>
    </font>
    <font>
      <sz val="11"/>
      <color theme="1"/>
      <name val="맑은 고딕"/>
      <family val="2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4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9" fillId="0" borderId="0" applyFill="0" applyProtection="0">
      <alignment vertical="center"/>
    </xf>
    <xf numFmtId="0" fontId="10" fillId="0" borderId="0"/>
    <xf numFmtId="41" fontId="1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1" fillId="0" borderId="0"/>
    <xf numFmtId="0" fontId="31" fillId="0" borderId="0"/>
    <xf numFmtId="0" fontId="32" fillId="0" borderId="0"/>
    <xf numFmtId="0" fontId="33" fillId="0" borderId="0"/>
    <xf numFmtId="0" fontId="32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34" fillId="0" borderId="0"/>
    <xf numFmtId="0" fontId="35" fillId="0" borderId="0"/>
    <xf numFmtId="0" fontId="30" fillId="0" borderId="0"/>
    <xf numFmtId="0" fontId="30" fillId="0" borderId="0"/>
    <xf numFmtId="0" fontId="29" fillId="0" borderId="0"/>
    <xf numFmtId="0" fontId="36" fillId="0" borderId="0"/>
    <xf numFmtId="3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/>
    <xf numFmtId="38" fontId="37" fillId="5" borderId="0" applyNumberFormat="0" applyBorder="0" applyAlignment="0" applyProtection="0"/>
    <xf numFmtId="0" fontId="38" fillId="0" borderId="0">
      <alignment horizontal="left"/>
    </xf>
    <xf numFmtId="0" fontId="39" fillId="0" borderId="2" applyNumberFormat="0" applyAlignment="0" applyProtection="0">
      <alignment horizontal="left" vertical="center"/>
    </xf>
    <xf numFmtId="0" fontId="39" fillId="0" borderId="3">
      <alignment horizontal="left" vertical="center"/>
    </xf>
    <xf numFmtId="10" fontId="37" fillId="5" borderId="1" applyNumberFormat="0" applyBorder="0" applyAlignment="0" applyProtection="0"/>
    <xf numFmtId="0" fontId="40" fillId="0" borderId="4"/>
    <xf numFmtId="177" fontId="10" fillId="0" borderId="0"/>
    <xf numFmtId="0" fontId="30" fillId="0" borderId="0"/>
    <xf numFmtId="10" fontId="30" fillId="0" borderId="0" applyFont="0" applyFill="0" applyBorder="0" applyAlignment="0" applyProtection="0"/>
    <xf numFmtId="0" fontId="40" fillId="0" borderId="0"/>
    <xf numFmtId="0" fontId="10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9" fillId="0" borderId="0" applyFill="0" applyProtection="0">
      <alignment vertical="center"/>
    </xf>
    <xf numFmtId="0" fontId="41" fillId="0" borderId="0">
      <alignment vertical="center"/>
    </xf>
    <xf numFmtId="0" fontId="19" fillId="0" borderId="0" applyFill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2" fillId="0" borderId="0">
      <alignment vertical="center"/>
    </xf>
  </cellStyleXfs>
  <cellXfs count="86">
    <xf numFmtId="0" fontId="0" fillId="0" borderId="0" xfId="0">
      <alignment vertical="center"/>
    </xf>
    <xf numFmtId="0" fontId="14" fillId="0" borderId="0" xfId="2" applyFont="1">
      <alignment vertical="center"/>
    </xf>
    <xf numFmtId="0" fontId="20" fillId="0" borderId="0" xfId="6" applyFont="1" applyAlignment="1">
      <alignment horizontal="left" vertical="top"/>
    </xf>
    <xf numFmtId="0" fontId="14" fillId="0" borderId="0" xfId="6" applyFont="1" applyAlignment="1">
      <alignment horizontal="left"/>
    </xf>
    <xf numFmtId="0" fontId="14" fillId="0" borderId="0" xfId="6" applyFont="1" applyAlignment="1">
      <alignment horizontal="center"/>
    </xf>
    <xf numFmtId="0" fontId="14" fillId="0" borderId="0" xfId="6" applyFont="1"/>
    <xf numFmtId="0" fontId="14" fillId="0" borderId="0" xfId="6" applyFont="1" applyAlignment="1">
      <alignment horizontal="left" vertical="top"/>
    </xf>
    <xf numFmtId="0" fontId="14" fillId="0" borderId="0" xfId="6" applyFont="1" applyAlignment="1">
      <alignment horizontal="center" vertical="top"/>
    </xf>
    <xf numFmtId="0" fontId="21" fillId="0" borderId="0" xfId="6" applyFont="1" applyAlignment="1">
      <alignment horizontal="right" vertical="top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horizontal="center"/>
    </xf>
    <xf numFmtId="0" fontId="14" fillId="0" borderId="0" xfId="6" applyFont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14" fillId="4" borderId="1" xfId="6" applyFont="1" applyFill="1" applyBorder="1" applyAlignment="1">
      <alignment horizontal="center" vertical="center"/>
    </xf>
    <xf numFmtId="41" fontId="14" fillId="4" borderId="1" xfId="1" applyFont="1" applyFill="1" applyBorder="1" applyAlignment="1">
      <alignment horizontal="center" vertical="center"/>
    </xf>
    <xf numFmtId="176" fontId="14" fillId="4" borderId="1" xfId="1" applyNumberFormat="1" applyFont="1" applyFill="1" applyBorder="1" applyAlignment="1">
      <alignment horizontal="right" vertical="center"/>
    </xf>
    <xf numFmtId="176" fontId="14" fillId="4" borderId="1" xfId="6" applyNumberFormat="1" applyFont="1" applyFill="1" applyBorder="1" applyAlignment="1">
      <alignment horizontal="center" vertical="center"/>
    </xf>
    <xf numFmtId="0" fontId="14" fillId="7" borderId="0" xfId="6" applyFont="1" applyFill="1" applyAlignment="1">
      <alignment horizontal="left"/>
    </xf>
    <xf numFmtId="0" fontId="42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41" fontId="42" fillId="0" borderId="1" xfId="1" applyFont="1" applyBorder="1" applyAlignment="1">
      <alignment horizontal="center" vertical="center"/>
    </xf>
    <xf numFmtId="41" fontId="42" fillId="0" borderId="1" xfId="1" applyFont="1" applyBorder="1">
      <alignment vertical="center"/>
    </xf>
    <xf numFmtId="41" fontId="17" fillId="3" borderId="1" xfId="1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41" fontId="14" fillId="3" borderId="1" xfId="7" applyFont="1" applyFill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41" fontId="17" fillId="5" borderId="0" xfId="1" applyFont="1" applyFill="1" applyBorder="1" applyAlignment="1">
      <alignment horizontal="center"/>
    </xf>
    <xf numFmtId="41" fontId="17" fillId="2" borderId="0" xfId="1" applyFont="1" applyFill="1" applyBorder="1">
      <alignment vertical="center"/>
    </xf>
    <xf numFmtId="41" fontId="17" fillId="0" borderId="0" xfId="1" applyFont="1" applyAlignment="1">
      <alignment horizontal="center"/>
    </xf>
    <xf numFmtId="41" fontId="17" fillId="0" borderId="1" xfId="1" applyFont="1" applyBorder="1" applyAlignment="1">
      <alignment horizontal="center"/>
    </xf>
    <xf numFmtId="41" fontId="42" fillId="0" borderId="1" xfId="1" applyFont="1" applyBorder="1" applyAlignment="1">
      <alignment horizontal="right" vertical="center"/>
    </xf>
    <xf numFmtId="0" fontId="44" fillId="7" borderId="0" xfId="6" applyFont="1" applyFill="1" applyAlignment="1">
      <alignment horizontal="left"/>
    </xf>
    <xf numFmtId="41" fontId="16" fillId="0" borderId="1" xfId="1" applyFont="1" applyFill="1" applyBorder="1" applyAlignment="1" applyProtection="1">
      <alignment horizontal="center" vertical="center" wrapText="1"/>
    </xf>
    <xf numFmtId="41" fontId="42" fillId="0" borderId="0" xfId="0" applyNumberFormat="1" applyFont="1" applyAlignment="1">
      <alignment horizontal="center" vertical="center"/>
    </xf>
    <xf numFmtId="0" fontId="11" fillId="5" borderId="0" xfId="2" applyFont="1" applyFill="1" applyAlignment="1">
      <alignment horizontal="left" vertical="center"/>
    </xf>
    <xf numFmtId="0" fontId="14" fillId="2" borderId="0" xfId="3" applyFont="1" applyFill="1">
      <alignment vertical="center"/>
    </xf>
    <xf numFmtId="0" fontId="14" fillId="0" borderId="0" xfId="3" applyFont="1">
      <alignment vertical="center"/>
    </xf>
    <xf numFmtId="0" fontId="14" fillId="0" borderId="0" xfId="2" applyFont="1" applyAlignment="1">
      <alignment horizontal="center"/>
    </xf>
    <xf numFmtId="0" fontId="17" fillId="3" borderId="1" xfId="2" applyFont="1" applyFill="1" applyBorder="1" applyAlignment="1">
      <alignment horizontal="center" vertical="center" shrinkToFit="1"/>
    </xf>
    <xf numFmtId="0" fontId="17" fillId="3" borderId="1" xfId="4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2" borderId="0" xfId="3" applyFont="1" applyFill="1">
      <alignment vertical="center"/>
    </xf>
    <xf numFmtId="0" fontId="17" fillId="5" borderId="0" xfId="2" applyFont="1" applyFill="1" applyAlignment="1">
      <alignment horizontal="center"/>
    </xf>
    <xf numFmtId="0" fontId="17" fillId="0" borderId="0" xfId="3" applyFont="1">
      <alignment vertical="center"/>
    </xf>
    <xf numFmtId="0" fontId="17" fillId="0" borderId="0" xfId="2" applyFont="1">
      <alignment vertical="center"/>
    </xf>
    <xf numFmtId="0" fontId="17" fillId="0" borderId="0" xfId="2" applyFont="1" applyAlignment="1">
      <alignment horizontal="center" vertical="center"/>
    </xf>
    <xf numFmtId="0" fontId="17" fillId="2" borderId="0" xfId="3" applyFont="1" applyFill="1" applyAlignment="1">
      <alignment horizontal="center" vertical="center"/>
    </xf>
    <xf numFmtId="0" fontId="17" fillId="0" borderId="0" xfId="2" applyFont="1" applyAlignment="1">
      <alignment horizontal="center"/>
    </xf>
    <xf numFmtId="0" fontId="17" fillId="5" borderId="0" xfId="2" applyFont="1" applyFill="1" applyAlignment="1">
      <alignment horizontal="center" shrinkToFit="1"/>
    </xf>
    <xf numFmtId="0" fontId="17" fillId="0" borderId="1" xfId="2" applyFont="1" applyBorder="1" applyAlignment="1">
      <alignment horizontal="center"/>
    </xf>
    <xf numFmtId="0" fontId="17" fillId="0" borderId="1" xfId="2" applyFont="1" applyBorder="1">
      <alignment vertical="center"/>
    </xf>
    <xf numFmtId="0" fontId="43" fillId="3" borderId="1" xfId="2" applyFont="1" applyFill="1" applyBorder="1" applyAlignment="1">
      <alignment horizontal="center" vertical="center"/>
    </xf>
    <xf numFmtId="0" fontId="16" fillId="5" borderId="0" xfId="2" applyFont="1" applyFill="1" applyAlignment="1">
      <alignment horizontal="center" shrinkToFit="1"/>
    </xf>
    <xf numFmtId="0" fontId="14" fillId="2" borderId="0" xfId="3" applyFont="1" applyFill="1" applyAlignment="1">
      <alignment horizontal="center" vertical="center"/>
    </xf>
    <xf numFmtId="0" fontId="14" fillId="0" borderId="1" xfId="2" applyFont="1" applyBorder="1" applyAlignment="1">
      <alignment horizontal="center"/>
    </xf>
    <xf numFmtId="1" fontId="17" fillId="0" borderId="1" xfId="5" applyNumberFormat="1" applyFont="1" applyFill="1" applyBorder="1" applyAlignment="1" applyProtection="1">
      <alignment horizontal="center" vertical="center" wrapText="1"/>
    </xf>
    <xf numFmtId="0" fontId="16" fillId="0" borderId="1" xfId="5" applyFont="1" applyFill="1" applyBorder="1" applyAlignment="1" applyProtection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46" fillId="0" borderId="1" xfId="5" applyFont="1" applyFill="1" applyBorder="1" applyAlignment="1" applyProtection="1">
      <alignment horizontal="center" vertical="center"/>
    </xf>
    <xf numFmtId="0" fontId="47" fillId="0" borderId="1" xfId="5" applyFont="1" applyFill="1" applyBorder="1" applyAlignment="1" applyProtection="1">
      <alignment horizontal="center" vertical="center" wrapText="1"/>
    </xf>
    <xf numFmtId="0" fontId="49" fillId="3" borderId="1" xfId="4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5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17" fillId="0" borderId="0" xfId="2" applyFont="1" applyAlignment="1">
      <alignment horizontal="right" vertical="center" wrapText="1"/>
    </xf>
    <xf numFmtId="0" fontId="4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</cellXfs>
  <cellStyles count="343">
    <cellStyle name="ÅëÈ­ [0]_INQUIRY ¿µ¾÷ÃßÁø " xfId="10" xr:uid="{00000000-0005-0000-0000-000000000000}"/>
    <cellStyle name="AeE­ [0]_INQUIRY ¿μ¾÷AßAø " xfId="11" xr:uid="{00000000-0005-0000-0000-000001000000}"/>
    <cellStyle name="ÅëÈ­_INQUIRY ¿µ¾÷ÃßÁø " xfId="12" xr:uid="{00000000-0005-0000-0000-000002000000}"/>
    <cellStyle name="AeE­_INQUIRY ¿μ¾÷AßAø " xfId="13" xr:uid="{00000000-0005-0000-0000-000003000000}"/>
    <cellStyle name="ÄÞ¸¶ [0]_INQUIRY ¿µ¾÷ÃßÁø " xfId="14" xr:uid="{00000000-0005-0000-0000-000004000000}"/>
    <cellStyle name="AÞ¸¶ [0]_INQUIRY ¿μ¾÷AßAø " xfId="15" xr:uid="{00000000-0005-0000-0000-000005000000}"/>
    <cellStyle name="ÄÞ¸¶_INQUIRY ¿µ¾÷ÃßÁø " xfId="16" xr:uid="{00000000-0005-0000-0000-000006000000}"/>
    <cellStyle name="AÞ¸¶_INQUIRY ¿μ¾÷AßAø " xfId="17" xr:uid="{00000000-0005-0000-0000-000007000000}"/>
    <cellStyle name="Ç¥ÁØ_»ç¾÷ºÎº° ÃÑ°è " xfId="18" xr:uid="{00000000-0005-0000-0000-000008000000}"/>
    <cellStyle name="C￥AØ_≫c¾÷ºIº° AN°e " xfId="19" xr:uid="{00000000-0005-0000-0000-000009000000}"/>
    <cellStyle name="Ç¥ÁØ_°³¹ßÀÏÁ¤ " xfId="20" xr:uid="{00000000-0005-0000-0000-00000A000000}"/>
    <cellStyle name="C￥AØ_°³¹ßAIA¤  (2)_°³¹ßAIA¤ " xfId="21" xr:uid="{00000000-0005-0000-0000-00000B000000}"/>
    <cellStyle name="Ç¥ÁØ_°³¹ßÀÏÁ¤  (2)_°³¹ßÀÏÁ¤ " xfId="22" xr:uid="{00000000-0005-0000-0000-00000C000000}"/>
    <cellStyle name="C￥AØ_5-1±¤°i " xfId="23" xr:uid="{00000000-0005-0000-0000-00000D000000}"/>
    <cellStyle name="Ç¥ÁØ_5-1±¤°í " xfId="24" xr:uid="{00000000-0005-0000-0000-00000E000000}"/>
    <cellStyle name="C￥AØ_AI¿øCoE² " xfId="25" xr:uid="{00000000-0005-0000-0000-00000F000000}"/>
    <cellStyle name="Ç¥ÁØ_laroux_°³¹ßÀÏÁ¤ " xfId="26" xr:uid="{00000000-0005-0000-0000-000010000000}"/>
    <cellStyle name="C￥AØ_laroux_°³¹ßAIA¤  (2)_°³¹ßAIA¤ " xfId="27" xr:uid="{00000000-0005-0000-0000-000011000000}"/>
    <cellStyle name="Ç¥ÁØ_laroux_°³¹ßÀÏÁ¤  (2)_°³¹ßÀÏÁ¤ " xfId="28" xr:uid="{00000000-0005-0000-0000-000012000000}"/>
    <cellStyle name="C￥AØ_laroux_1_°³¹ßAIA¤ " xfId="29" xr:uid="{00000000-0005-0000-0000-000013000000}"/>
    <cellStyle name="Ç¥ÁØ_laroux_1_°³¹ßÀÏÁ¤ " xfId="30" xr:uid="{00000000-0005-0000-0000-000014000000}"/>
    <cellStyle name="C￥AØ_laroux_2_°³¹ßAIA¤ " xfId="31" xr:uid="{00000000-0005-0000-0000-000015000000}"/>
    <cellStyle name="Ç¥ÁØ_laroux_2_°³¹ßÀÏÁ¤ " xfId="32" xr:uid="{00000000-0005-0000-0000-000016000000}"/>
    <cellStyle name="C￥AØ_M105CDT " xfId="33" xr:uid="{00000000-0005-0000-0000-000017000000}"/>
    <cellStyle name="category" xfId="34" xr:uid="{00000000-0005-0000-0000-000018000000}"/>
    <cellStyle name="Comma [0]" xfId="35" xr:uid="{00000000-0005-0000-0000-000019000000}"/>
    <cellStyle name="Comma_ SG&amp;A Bridge " xfId="36" xr:uid="{00000000-0005-0000-0000-00001A000000}"/>
    <cellStyle name="Currency [0]" xfId="37" xr:uid="{00000000-0005-0000-0000-00001B000000}"/>
    <cellStyle name="Currency_ SG&amp;A Bridge " xfId="38" xr:uid="{00000000-0005-0000-0000-00001C000000}"/>
    <cellStyle name="Currency1" xfId="39" xr:uid="{00000000-0005-0000-0000-00001D000000}"/>
    <cellStyle name="Grey" xfId="40" xr:uid="{00000000-0005-0000-0000-00001E000000}"/>
    <cellStyle name="HEADER" xfId="41" xr:uid="{00000000-0005-0000-0000-00001F000000}"/>
    <cellStyle name="Header1" xfId="42" xr:uid="{00000000-0005-0000-0000-000020000000}"/>
    <cellStyle name="Header2" xfId="43" xr:uid="{00000000-0005-0000-0000-000021000000}"/>
    <cellStyle name="Input [yellow]" xfId="44" xr:uid="{00000000-0005-0000-0000-000022000000}"/>
    <cellStyle name="Model" xfId="45" xr:uid="{00000000-0005-0000-0000-000023000000}"/>
    <cellStyle name="Normal - Style1" xfId="46" xr:uid="{00000000-0005-0000-0000-000024000000}"/>
    <cellStyle name="Normal_ SG&amp;A Bridge " xfId="47" xr:uid="{00000000-0005-0000-0000-000025000000}"/>
    <cellStyle name="Percent [2]" xfId="48" xr:uid="{00000000-0005-0000-0000-000026000000}"/>
    <cellStyle name="subhead" xfId="49" xr:uid="{00000000-0005-0000-0000-000027000000}"/>
    <cellStyle name="뷭?_BOOKSHIP" xfId="50" xr:uid="{00000000-0005-0000-0000-000028000000}"/>
    <cellStyle name="쉼표 [0]" xfId="1" builtinId="6"/>
    <cellStyle name="쉼표 [0] 2" xfId="7" xr:uid="{00000000-0005-0000-0000-00002A000000}"/>
    <cellStyle name="쉼표 [0] 2 2" xfId="57" xr:uid="{427CCB28-F84D-4AD9-BFAF-ACB2DDCD007B}"/>
    <cellStyle name="쉼표 [0] 2 2 2" xfId="63" xr:uid="{6E6537F5-FE91-4197-8756-21B5343330FE}"/>
    <cellStyle name="쉼표 [0] 2 2 2 2" xfId="75" xr:uid="{37AE61B4-E2A6-44E7-9335-158D413380E6}"/>
    <cellStyle name="쉼표 [0] 2 2 2 2 2" xfId="99" xr:uid="{FB1C894D-AFF9-49CB-982B-998262D4D4A8}"/>
    <cellStyle name="쉼표 [0] 2 2 2 2 2 2" xfId="147" xr:uid="{F7B2A7CB-5678-4D3C-AF88-9DE04A09B058}"/>
    <cellStyle name="쉼표 [0] 2 2 2 2 2 2 2" xfId="291" xr:uid="{6647ED8C-A034-4071-88CE-A451D0BFA48E}"/>
    <cellStyle name="쉼표 [0] 2 2 2 2 2 3" xfId="195" xr:uid="{C69A6720-22D8-433E-AC7C-237D66893681}"/>
    <cellStyle name="쉼표 [0] 2 2 2 2 2 3 2" xfId="339" xr:uid="{630EEDF8-41EE-42E2-89BC-6AAC6A7E83F5}"/>
    <cellStyle name="쉼표 [0] 2 2 2 2 2 4" xfId="243" xr:uid="{73903787-AF67-42E5-AAB8-DB0A300D09DF}"/>
    <cellStyle name="쉼표 [0] 2 2 2 2 3" xfId="123" xr:uid="{71F7052A-A8F7-4750-81B0-30EB3CACC509}"/>
    <cellStyle name="쉼표 [0] 2 2 2 2 3 2" xfId="267" xr:uid="{3FC98EA5-7869-44F3-A169-442FD04168D1}"/>
    <cellStyle name="쉼표 [0] 2 2 2 2 4" xfId="171" xr:uid="{AFEBEEC4-2D21-45CF-9661-26AAB6E8A50B}"/>
    <cellStyle name="쉼표 [0] 2 2 2 2 4 2" xfId="315" xr:uid="{1A25ADD5-6743-4904-B270-25BD97900BFF}"/>
    <cellStyle name="쉼표 [0] 2 2 2 2 5" xfId="219" xr:uid="{BEF420F5-B617-4506-8818-4F85B769E4F9}"/>
    <cellStyle name="쉼표 [0] 2 2 2 3" xfId="87" xr:uid="{FF4CB307-B5F9-4135-AA78-BC91C4963D07}"/>
    <cellStyle name="쉼표 [0] 2 2 2 3 2" xfId="135" xr:uid="{55813998-9AF8-4911-99BB-2F895CC845BE}"/>
    <cellStyle name="쉼표 [0] 2 2 2 3 2 2" xfId="279" xr:uid="{1388FAF9-03DF-4B84-8D96-6543F505230B}"/>
    <cellStyle name="쉼표 [0] 2 2 2 3 3" xfId="183" xr:uid="{26E97BE1-FB0B-4BF9-8B03-B87EB9D401AE}"/>
    <cellStyle name="쉼표 [0] 2 2 2 3 3 2" xfId="327" xr:uid="{A1453500-50D1-4617-AFA1-460DBB87B7D5}"/>
    <cellStyle name="쉼표 [0] 2 2 2 3 4" xfId="231" xr:uid="{276CBCE9-1451-42C9-81D1-602BABBBBFFE}"/>
    <cellStyle name="쉼표 [0] 2 2 2 4" xfId="111" xr:uid="{7CE0F85B-FD44-44F7-892F-86A5DA374E16}"/>
    <cellStyle name="쉼표 [0] 2 2 2 4 2" xfId="255" xr:uid="{7AFB4E7D-ED71-4CB4-9BEA-E006AFE8958D}"/>
    <cellStyle name="쉼표 [0] 2 2 2 5" xfId="159" xr:uid="{3A9512F6-E5EA-4B27-87A0-66705C9285E6}"/>
    <cellStyle name="쉼표 [0] 2 2 2 5 2" xfId="303" xr:uid="{4F8FC722-6D51-496F-8AE8-39F0863BAD26}"/>
    <cellStyle name="쉼표 [0] 2 2 2 6" xfId="207" xr:uid="{B306C562-D78F-4E4E-80D4-59D6C16AD808}"/>
    <cellStyle name="쉼표 [0] 2 2 3" xfId="69" xr:uid="{72E8894C-0EEC-40D6-A3FA-C57399DDE6CF}"/>
    <cellStyle name="쉼표 [0] 2 2 3 2" xfId="93" xr:uid="{D21C54E9-B034-4062-A0BE-EDE63447F5B1}"/>
    <cellStyle name="쉼표 [0] 2 2 3 2 2" xfId="141" xr:uid="{80C958FC-2B6B-4CB4-9E3B-55691534401D}"/>
    <cellStyle name="쉼표 [0] 2 2 3 2 2 2" xfId="285" xr:uid="{45EEF317-98EC-4190-B2AE-CCAAD4B4DC9E}"/>
    <cellStyle name="쉼표 [0] 2 2 3 2 3" xfId="189" xr:uid="{C159B7E6-0AB8-4367-B9D0-39C1E750FC74}"/>
    <cellStyle name="쉼표 [0] 2 2 3 2 3 2" xfId="333" xr:uid="{C0B24B50-421E-4E24-8C22-73D51C63CEBA}"/>
    <cellStyle name="쉼표 [0] 2 2 3 2 4" xfId="237" xr:uid="{EC832B92-58E1-4116-AFC6-4C284EF57641}"/>
    <cellStyle name="쉼표 [0] 2 2 3 3" xfId="117" xr:uid="{7D1ECECC-5FAA-4105-AAD7-A535F7D942B9}"/>
    <cellStyle name="쉼표 [0] 2 2 3 3 2" xfId="261" xr:uid="{46E4E984-E95B-4896-A1CC-D9B4F944F79E}"/>
    <cellStyle name="쉼표 [0] 2 2 3 4" xfId="165" xr:uid="{0CD631F6-C5CF-41C9-AA08-B19992C249A8}"/>
    <cellStyle name="쉼표 [0] 2 2 3 4 2" xfId="309" xr:uid="{DA50F822-F287-4E6B-AC28-ACDB6D2AF310}"/>
    <cellStyle name="쉼표 [0] 2 2 3 5" xfId="213" xr:uid="{33FC3B83-542C-472F-A29B-73AE13196AA8}"/>
    <cellStyle name="쉼표 [0] 2 2 4" xfId="81" xr:uid="{927A759C-8D1D-4BE9-982C-13E5EB5BB958}"/>
    <cellStyle name="쉼표 [0] 2 2 4 2" xfId="129" xr:uid="{73EFC1B4-EBA4-4723-9E18-50A499DE0357}"/>
    <cellStyle name="쉼표 [0] 2 2 4 2 2" xfId="273" xr:uid="{11E8134B-630D-4DD3-B6F3-DE4BC872DF3D}"/>
    <cellStyle name="쉼표 [0] 2 2 4 3" xfId="177" xr:uid="{C743B0F5-4C73-425A-9DEB-DD1FA94D2BAD}"/>
    <cellStyle name="쉼표 [0] 2 2 4 3 2" xfId="321" xr:uid="{2AD99278-E926-429A-B76D-EEADCC317D59}"/>
    <cellStyle name="쉼표 [0] 2 2 4 4" xfId="225" xr:uid="{7529859D-BC9E-48BD-A8C8-77E1FBFF1893}"/>
    <cellStyle name="쉼표 [0] 2 2 5" xfId="105" xr:uid="{258DC00F-BEF0-407E-877C-970182F18346}"/>
    <cellStyle name="쉼표 [0] 2 2 5 2" xfId="249" xr:uid="{A59406FB-31B0-4715-8AE2-B737207DE299}"/>
    <cellStyle name="쉼표 [0] 2 2 6" xfId="153" xr:uid="{88682882-3199-4B8F-9153-B70B6A54F233}"/>
    <cellStyle name="쉼표 [0] 2 2 6 2" xfId="297" xr:uid="{16A5B3B8-ACFA-46D2-A9CB-B15E9060B487}"/>
    <cellStyle name="쉼표 [0] 2 2 7" xfId="201" xr:uid="{4A8F34A9-4622-41B0-A5C7-F308C2FF5F3B}"/>
    <cellStyle name="쉼표 [0] 2 3" xfId="60" xr:uid="{0DF8F80A-DBEE-41DC-BEE0-19410E983F7D}"/>
    <cellStyle name="쉼표 [0] 2 3 2" xfId="72" xr:uid="{A50798A1-AF60-49AB-995F-3CBCDBFBEB25}"/>
    <cellStyle name="쉼표 [0] 2 3 2 2" xfId="96" xr:uid="{7FA60AF6-3441-41EC-8310-1D67F83622E2}"/>
    <cellStyle name="쉼표 [0] 2 3 2 2 2" xfId="144" xr:uid="{D00C617B-3A20-493A-B410-767CDFED4921}"/>
    <cellStyle name="쉼표 [0] 2 3 2 2 2 2" xfId="288" xr:uid="{39A75765-5340-458A-950A-929741B7E745}"/>
    <cellStyle name="쉼표 [0] 2 3 2 2 3" xfId="192" xr:uid="{B7050D3A-431A-4903-A5BE-8FD47E5FF65F}"/>
    <cellStyle name="쉼표 [0] 2 3 2 2 3 2" xfId="336" xr:uid="{E2520BE4-88DD-47AF-A747-3E98C0C73ABC}"/>
    <cellStyle name="쉼표 [0] 2 3 2 2 4" xfId="240" xr:uid="{02F40D9B-0FC7-4BE4-8F72-C551AC802593}"/>
    <cellStyle name="쉼표 [0] 2 3 2 3" xfId="120" xr:uid="{13DCCDEE-58C5-4744-B5AD-9C925927C590}"/>
    <cellStyle name="쉼표 [0] 2 3 2 3 2" xfId="264" xr:uid="{9132846E-3E85-475E-9845-E7B651E29D59}"/>
    <cellStyle name="쉼표 [0] 2 3 2 4" xfId="168" xr:uid="{FAA6E3B8-63E8-4129-AFEF-5C682471D38C}"/>
    <cellStyle name="쉼표 [0] 2 3 2 4 2" xfId="312" xr:uid="{B25FE6DA-4CC8-4BCD-A8EC-B46CD4C1898C}"/>
    <cellStyle name="쉼표 [0] 2 3 2 5" xfId="216" xr:uid="{B61058D9-941B-40A0-9DA4-EEF9EDC8D517}"/>
    <cellStyle name="쉼표 [0] 2 3 3" xfId="84" xr:uid="{5FF5F7A3-47C7-428D-9E2D-96C0B4D5EC3E}"/>
    <cellStyle name="쉼표 [0] 2 3 3 2" xfId="132" xr:uid="{02CB0022-6060-424A-BBD5-971925A7DE6E}"/>
    <cellStyle name="쉼표 [0] 2 3 3 2 2" xfId="276" xr:uid="{B2D1FC6D-4A84-4B0C-AFBD-A7F8696B044E}"/>
    <cellStyle name="쉼표 [0] 2 3 3 3" xfId="180" xr:uid="{9997AFD6-F987-41A6-9CD8-83560CF55120}"/>
    <cellStyle name="쉼표 [0] 2 3 3 3 2" xfId="324" xr:uid="{107AAF86-81A8-4286-98FA-675DB70AD7D4}"/>
    <cellStyle name="쉼표 [0] 2 3 3 4" xfId="228" xr:uid="{501B4FD6-DDB3-4C73-A779-EEAABC1E919D}"/>
    <cellStyle name="쉼표 [0] 2 3 4" xfId="108" xr:uid="{823CFFAB-3559-4AC5-998F-91A7C12ED6B3}"/>
    <cellStyle name="쉼표 [0] 2 3 4 2" xfId="252" xr:uid="{760728FB-1F00-41F9-870A-AAC5EC56F44D}"/>
    <cellStyle name="쉼표 [0] 2 3 5" xfId="156" xr:uid="{76712518-FE62-4536-B39F-8AC4C1CC8FE6}"/>
    <cellStyle name="쉼표 [0] 2 3 5 2" xfId="300" xr:uid="{721CB1B1-AFBE-4F29-918A-EA3B6D291EE0}"/>
    <cellStyle name="쉼표 [0] 2 3 6" xfId="204" xr:uid="{2D6CCB30-0981-4837-8684-EE9C4C094242}"/>
    <cellStyle name="쉼표 [0] 2 4" xfId="66" xr:uid="{42A65AC8-9CF0-421F-84A3-297B617554C4}"/>
    <cellStyle name="쉼표 [0] 2 4 2" xfId="90" xr:uid="{6BAE129D-A2A2-4C2E-87B4-69E92A5A3F25}"/>
    <cellStyle name="쉼표 [0] 2 4 2 2" xfId="138" xr:uid="{E20E4665-DC1F-41CE-BCFE-7A8879085F4C}"/>
    <cellStyle name="쉼표 [0] 2 4 2 2 2" xfId="282" xr:uid="{ADA7DB9C-A644-489C-85F9-C83CA11F7AFA}"/>
    <cellStyle name="쉼표 [0] 2 4 2 3" xfId="186" xr:uid="{689AB757-3647-4238-9789-6865E9C14C34}"/>
    <cellStyle name="쉼표 [0] 2 4 2 3 2" xfId="330" xr:uid="{A523CBDD-9A6A-4CDB-BBC0-3BDF8948DA3C}"/>
    <cellStyle name="쉼표 [0] 2 4 2 4" xfId="234" xr:uid="{ADE2407C-0951-4847-ADF8-1A8F94EAC431}"/>
    <cellStyle name="쉼표 [0] 2 4 3" xfId="114" xr:uid="{79A880CD-BADB-4666-BA02-269C7EC81748}"/>
    <cellStyle name="쉼표 [0] 2 4 3 2" xfId="258" xr:uid="{4F26634D-A864-4792-9DE1-35FC2C021439}"/>
    <cellStyle name="쉼표 [0] 2 4 4" xfId="162" xr:uid="{4DD9FBBB-FCC3-4211-89D9-15274A67F787}"/>
    <cellStyle name="쉼표 [0] 2 4 4 2" xfId="306" xr:uid="{E6D6AE85-E891-4B1E-BD12-BCBA0448F0D9}"/>
    <cellStyle name="쉼표 [0] 2 4 5" xfId="210" xr:uid="{C4F7225E-760B-4562-A5B4-55635F5BEF2F}"/>
    <cellStyle name="쉼표 [0] 2 5" xfId="78" xr:uid="{9C34552D-5BE3-4A18-BBCE-18D9771CCE8D}"/>
    <cellStyle name="쉼표 [0] 2 5 2" xfId="126" xr:uid="{81FD0B1D-1264-4112-8CF1-DD181C474354}"/>
    <cellStyle name="쉼표 [0] 2 5 2 2" xfId="270" xr:uid="{242B294E-3A96-41E7-9AB5-F52F961A52F0}"/>
    <cellStyle name="쉼표 [0] 2 5 3" xfId="174" xr:uid="{6124865A-AE6E-42A5-8BEA-B14292456C2E}"/>
    <cellStyle name="쉼표 [0] 2 5 3 2" xfId="318" xr:uid="{AD3E540B-FA9C-4E7D-89F6-3D8B0A40DA1E}"/>
    <cellStyle name="쉼표 [0] 2 5 4" xfId="222" xr:uid="{AFAD6198-2689-452A-B2C6-9911D7763715}"/>
    <cellStyle name="쉼표 [0] 2 6" xfId="102" xr:uid="{D4703DAE-415E-4B40-BCE6-A3986E4B523D}"/>
    <cellStyle name="쉼표 [0] 2 6 2" xfId="246" xr:uid="{E6F87147-8C6D-4D70-BB63-F37F0D4CC95B}"/>
    <cellStyle name="쉼표 [0] 2 7" xfId="150" xr:uid="{D70608D2-1326-4700-8ED8-98358BDAA48E}"/>
    <cellStyle name="쉼표 [0] 2 7 2" xfId="294" xr:uid="{F79D35DA-C94D-496C-8672-41AEE637A4DA}"/>
    <cellStyle name="쉼표 [0] 2 8" xfId="198" xr:uid="{5479330A-92BF-42C4-9F9B-B787955A1511}"/>
    <cellStyle name="쉼표 [0] 3" xfId="56" xr:uid="{53164769-D80E-42C5-A452-D595E3220F83}"/>
    <cellStyle name="쉼표 [0] 3 2" xfId="62" xr:uid="{715B3126-6BD0-433A-9A7A-BB90E537FB7B}"/>
    <cellStyle name="쉼표 [0] 3 2 2" xfId="74" xr:uid="{813DA66A-BAA9-4B00-9D43-E87D28E61CC7}"/>
    <cellStyle name="쉼표 [0] 3 2 2 2" xfId="98" xr:uid="{5A781BFC-099C-43C4-89ED-E65D18091246}"/>
    <cellStyle name="쉼표 [0] 3 2 2 2 2" xfId="146" xr:uid="{66B183FC-5811-4258-85DF-488618385E88}"/>
    <cellStyle name="쉼표 [0] 3 2 2 2 2 2" xfId="290" xr:uid="{7E85D4EA-6950-4415-BA91-EE2DD27B3481}"/>
    <cellStyle name="쉼표 [0] 3 2 2 2 3" xfId="194" xr:uid="{3EDD801E-0F24-4858-9414-8E15A6B7DA81}"/>
    <cellStyle name="쉼표 [0] 3 2 2 2 3 2" xfId="338" xr:uid="{7E71FEDC-FB68-4DFD-AB20-DDB6EEA473D4}"/>
    <cellStyle name="쉼표 [0] 3 2 2 2 4" xfId="242" xr:uid="{184B5F83-F748-445F-9101-335462786260}"/>
    <cellStyle name="쉼표 [0] 3 2 2 3" xfId="122" xr:uid="{BCA2E869-35A5-4162-8AD9-46E8F6E24611}"/>
    <cellStyle name="쉼표 [0] 3 2 2 3 2" xfId="266" xr:uid="{56A07439-AF2D-45B4-95E0-9A2B1679B898}"/>
    <cellStyle name="쉼표 [0] 3 2 2 4" xfId="170" xr:uid="{0B5A8719-C7DF-44FF-8A24-B3D0CD3F3D30}"/>
    <cellStyle name="쉼표 [0] 3 2 2 4 2" xfId="314" xr:uid="{DFDF3B6D-4841-42C3-B0E1-06AE11882E08}"/>
    <cellStyle name="쉼표 [0] 3 2 2 5" xfId="218" xr:uid="{7A9DCD4A-E5C6-47CA-BFBD-D49C0D9E886C}"/>
    <cellStyle name="쉼표 [0] 3 2 3" xfId="86" xr:uid="{EE0BDFF2-FAF2-404A-A7B6-CD17C61EE980}"/>
    <cellStyle name="쉼표 [0] 3 2 3 2" xfId="134" xr:uid="{7BC695DB-9BDF-4CB5-8EF6-9DA916EF9D48}"/>
    <cellStyle name="쉼표 [0] 3 2 3 2 2" xfId="278" xr:uid="{156414A5-7D71-4A67-BAA6-8CBB05C6C16A}"/>
    <cellStyle name="쉼표 [0] 3 2 3 3" xfId="182" xr:uid="{BC715520-C6AD-4BD2-94B8-7B2C4732E25D}"/>
    <cellStyle name="쉼표 [0] 3 2 3 3 2" xfId="326" xr:uid="{5BA82E90-F820-4FD8-BCFF-835197DA1C1C}"/>
    <cellStyle name="쉼표 [0] 3 2 3 4" xfId="230" xr:uid="{7D8516FC-9898-4F5D-9944-376088211247}"/>
    <cellStyle name="쉼표 [0] 3 2 4" xfId="110" xr:uid="{9B98DC2A-053A-45D2-A8E5-1C315DF99862}"/>
    <cellStyle name="쉼표 [0] 3 2 4 2" xfId="254" xr:uid="{E552FA7A-6BB4-4017-96E5-041AFED01431}"/>
    <cellStyle name="쉼표 [0] 3 2 5" xfId="158" xr:uid="{1B7D6CF3-BB13-4A27-9F24-BFE6F124ED96}"/>
    <cellStyle name="쉼표 [0] 3 2 5 2" xfId="302" xr:uid="{E6136036-0E46-42F9-B09C-AF3E38E4DFF5}"/>
    <cellStyle name="쉼표 [0] 3 2 6" xfId="206" xr:uid="{895307F2-BFFF-4D47-9FC5-A2C7AAAF6183}"/>
    <cellStyle name="쉼표 [0] 3 3" xfId="68" xr:uid="{0AB3B4F8-21C1-43E1-828E-C8523BA56FA6}"/>
    <cellStyle name="쉼표 [0] 3 3 2" xfId="92" xr:uid="{74C06874-143C-4723-B39F-E6DA23803D0B}"/>
    <cellStyle name="쉼표 [0] 3 3 2 2" xfId="140" xr:uid="{6C21E14B-2094-406A-8108-45ECFEA38707}"/>
    <cellStyle name="쉼표 [0] 3 3 2 2 2" xfId="284" xr:uid="{42417AC2-B753-4353-87C3-7095CE98FC5C}"/>
    <cellStyle name="쉼표 [0] 3 3 2 3" xfId="188" xr:uid="{5117CBF3-2806-45F1-9F21-5CF786FD55F2}"/>
    <cellStyle name="쉼표 [0] 3 3 2 3 2" xfId="332" xr:uid="{A9A754B9-42C5-4F2E-B2F9-62C7A55B416A}"/>
    <cellStyle name="쉼표 [0] 3 3 2 4" xfId="236" xr:uid="{E4931B1D-0EBC-4F4D-9340-AFE9F3EF18A2}"/>
    <cellStyle name="쉼표 [0] 3 3 3" xfId="116" xr:uid="{C8D92D78-DD38-4598-8DA6-3DFE0F42DE5F}"/>
    <cellStyle name="쉼표 [0] 3 3 3 2" xfId="260" xr:uid="{C8C4B415-2D58-4A96-B6A4-ED8CD840E43A}"/>
    <cellStyle name="쉼표 [0] 3 3 4" xfId="164" xr:uid="{79AD6AB1-E564-4BA1-A2D2-3E38D942268F}"/>
    <cellStyle name="쉼표 [0] 3 3 4 2" xfId="308" xr:uid="{8576D952-EA11-4408-A4C3-5735A341A006}"/>
    <cellStyle name="쉼표 [0] 3 3 5" xfId="212" xr:uid="{D2C77005-8856-43BF-A83B-E0FF737B2D5A}"/>
    <cellStyle name="쉼표 [0] 3 4" xfId="80" xr:uid="{ED658D43-1C2A-4901-99DD-52056CB3D691}"/>
    <cellStyle name="쉼표 [0] 3 4 2" xfId="128" xr:uid="{5D296176-2DDB-4352-A45F-23CD367EA428}"/>
    <cellStyle name="쉼표 [0] 3 4 2 2" xfId="272" xr:uid="{233C2615-6C1B-4789-BEC7-0D8F2397D274}"/>
    <cellStyle name="쉼표 [0] 3 4 3" xfId="176" xr:uid="{C833DB57-D6FC-4F4B-8EBD-0768227E6FC2}"/>
    <cellStyle name="쉼표 [0] 3 4 3 2" xfId="320" xr:uid="{85BEB10A-62D5-4AE5-87D9-D3B88A4C8FAC}"/>
    <cellStyle name="쉼표 [0] 3 4 4" xfId="224" xr:uid="{4E60D168-3BFA-4E45-B58F-D4D5551C3EF7}"/>
    <cellStyle name="쉼표 [0] 3 5" xfId="104" xr:uid="{ACD9311E-2897-4CF6-BD30-8B3072220F12}"/>
    <cellStyle name="쉼표 [0] 3 5 2" xfId="248" xr:uid="{84504D03-04DE-407E-BBFC-15ECE5DC1916}"/>
    <cellStyle name="쉼표 [0] 3 6" xfId="152" xr:uid="{4B587BA4-4BEC-4678-9E36-394ECB9E37B5}"/>
    <cellStyle name="쉼표 [0] 3 6 2" xfId="296" xr:uid="{5BA4CC7A-0AE4-4EA9-B9C0-FAB31D84D6AA}"/>
    <cellStyle name="쉼표 [0] 3 7" xfId="200" xr:uid="{4A53B0A8-83FA-46CF-B145-438F4962E647}"/>
    <cellStyle name="쉼표 [0] 4" xfId="59" xr:uid="{B7A64EAB-497F-45BC-B650-12C847D69DCC}"/>
    <cellStyle name="쉼표 [0] 4 2" xfId="71" xr:uid="{C44A088E-98AF-499F-B90A-54FEA604459B}"/>
    <cellStyle name="쉼표 [0] 4 2 2" xfId="95" xr:uid="{67F1E282-41CB-457B-9CE0-2BE3BD90DCA1}"/>
    <cellStyle name="쉼표 [0] 4 2 2 2" xfId="143" xr:uid="{6669FBC9-52BD-478F-A848-9D2F2702BEB6}"/>
    <cellStyle name="쉼표 [0] 4 2 2 2 2" xfId="287" xr:uid="{F5CD2FC1-A7ED-4D90-B69E-FB33DEEFD9D0}"/>
    <cellStyle name="쉼표 [0] 4 2 2 3" xfId="191" xr:uid="{73AC6C1F-D202-42D9-90F1-1C49D9EFEA82}"/>
    <cellStyle name="쉼표 [0] 4 2 2 3 2" xfId="335" xr:uid="{DF3A2E9D-9FF1-45A3-9A86-0B8FC5C801A9}"/>
    <cellStyle name="쉼표 [0] 4 2 2 4" xfId="239" xr:uid="{DB6DF740-F4E2-4A8C-B977-735541E84F18}"/>
    <cellStyle name="쉼표 [0] 4 2 3" xfId="119" xr:uid="{2D0391E8-BA00-4EBE-B742-C71C5EABDEE8}"/>
    <cellStyle name="쉼표 [0] 4 2 3 2" xfId="263" xr:uid="{979648F5-8C8B-4E17-8EC4-DC2B401F8D9F}"/>
    <cellStyle name="쉼표 [0] 4 2 4" xfId="167" xr:uid="{60378257-809C-405E-AA51-C7D734DC9B75}"/>
    <cellStyle name="쉼표 [0] 4 2 4 2" xfId="311" xr:uid="{287F4C31-009A-4344-B51A-85FB1476528B}"/>
    <cellStyle name="쉼표 [0] 4 2 5" xfId="215" xr:uid="{808279A0-BC92-4780-82F5-1E8F0E6015D6}"/>
    <cellStyle name="쉼표 [0] 4 3" xfId="83" xr:uid="{0B7CB5C1-E1AF-417F-8C4D-41B5C3BC1B92}"/>
    <cellStyle name="쉼표 [0] 4 3 2" xfId="131" xr:uid="{4DCFA819-62B7-41FC-B46D-26A52B005F9A}"/>
    <cellStyle name="쉼표 [0] 4 3 2 2" xfId="275" xr:uid="{C383A96C-B4A3-4158-BFB9-3ECEA720ADEE}"/>
    <cellStyle name="쉼표 [0] 4 3 3" xfId="179" xr:uid="{21EFE94B-8A49-4A37-8A2D-553F4826CFB5}"/>
    <cellStyle name="쉼표 [0] 4 3 3 2" xfId="323" xr:uid="{47DE4297-8688-4C34-93E2-02E0B42FE6F5}"/>
    <cellStyle name="쉼표 [0] 4 3 4" xfId="227" xr:uid="{BBC4FB79-41E1-49E7-8F7C-A26AE0F6B78A}"/>
    <cellStyle name="쉼표 [0] 4 4" xfId="107" xr:uid="{B3776455-7C2E-4F1F-BEE6-C9C9543A75D7}"/>
    <cellStyle name="쉼표 [0] 4 4 2" xfId="251" xr:uid="{64A7FA1A-3D5A-45AB-8D6A-5DDE9F90DB69}"/>
    <cellStyle name="쉼표 [0] 4 5" xfId="155" xr:uid="{FC3988F6-F15E-45AC-A616-2998E0371841}"/>
    <cellStyle name="쉼표 [0] 4 5 2" xfId="299" xr:uid="{6BB50C12-EDE8-40FF-835A-DA27AFB600DD}"/>
    <cellStyle name="쉼표 [0] 4 6" xfId="203" xr:uid="{76CC7A4C-7D3F-4A7C-BADF-C981855BFF9C}"/>
    <cellStyle name="쉼표 [0] 5" xfId="65" xr:uid="{C6751522-2CF9-4140-9FDD-97A32EB5FCE0}"/>
    <cellStyle name="쉼표 [0] 5 2" xfId="89" xr:uid="{D70D1A4F-6FDA-4107-8C78-7CE133870C5A}"/>
    <cellStyle name="쉼표 [0] 5 2 2" xfId="137" xr:uid="{B76BCF07-C8F0-4A52-9F65-A7F19EF3DED0}"/>
    <cellStyle name="쉼표 [0] 5 2 2 2" xfId="281" xr:uid="{5C7854FD-4ECB-4763-8E63-B35C3BF3B641}"/>
    <cellStyle name="쉼표 [0] 5 2 3" xfId="185" xr:uid="{BD3E59E2-7D1D-406E-B30D-CE9FAF70C497}"/>
    <cellStyle name="쉼표 [0] 5 2 3 2" xfId="329" xr:uid="{93AF2AD0-6884-42E0-A997-C64E81B9C2C5}"/>
    <cellStyle name="쉼표 [0] 5 2 4" xfId="233" xr:uid="{BF0B5D0B-494C-4ECC-AA02-6576E794C60E}"/>
    <cellStyle name="쉼표 [0] 5 3" xfId="113" xr:uid="{1D12C3A7-945C-4212-8BAD-9DD26E21FD7D}"/>
    <cellStyle name="쉼표 [0] 5 3 2" xfId="257" xr:uid="{6E08E791-A925-4F88-A60F-D868D39BA7A9}"/>
    <cellStyle name="쉼표 [0] 5 4" xfId="161" xr:uid="{2DEF2D4F-10A7-40DE-9131-20800D32E485}"/>
    <cellStyle name="쉼표 [0] 5 4 2" xfId="305" xr:uid="{A2FA0927-EBF7-4C8F-8399-5B907AABAEA0}"/>
    <cellStyle name="쉼표 [0] 5 5" xfId="209" xr:uid="{E1D4BB2A-F9E2-46B8-877C-C659437BDE69}"/>
    <cellStyle name="쉼표 [0] 6" xfId="77" xr:uid="{62D683A4-1DEA-471F-A3AF-D668E8538D49}"/>
    <cellStyle name="쉼표 [0] 6 2" xfId="125" xr:uid="{E3314E2C-8780-4320-AFE5-8AD2C5D0642B}"/>
    <cellStyle name="쉼표 [0] 6 2 2" xfId="269" xr:uid="{EF125EC9-94B9-4C83-AF7A-377D93CE78F0}"/>
    <cellStyle name="쉼표 [0] 6 3" xfId="173" xr:uid="{8C71F030-4735-4A88-94D8-A0672D16E80B}"/>
    <cellStyle name="쉼표 [0] 6 3 2" xfId="317" xr:uid="{6E2E997E-1C41-456B-88EE-E88880559BBA}"/>
    <cellStyle name="쉼표 [0] 6 4" xfId="221" xr:uid="{420D114D-2E33-4261-AB9D-F800B2CABCC1}"/>
    <cellStyle name="쉼표 [0] 7" xfId="101" xr:uid="{5CCE585A-00BF-4A53-B0FC-2091437BBB73}"/>
    <cellStyle name="쉼표 [0] 7 2" xfId="245" xr:uid="{802C24BF-5DB5-4BB5-A4E1-D92C2B6156F5}"/>
    <cellStyle name="쉼표 [0] 8" xfId="149" xr:uid="{856592FF-E38C-4879-8F3F-AA2835F2CF1C}"/>
    <cellStyle name="쉼표 [0] 8 2" xfId="293" xr:uid="{A12A5F3A-7ED3-45C5-8D88-152A44A3D5BA}"/>
    <cellStyle name="쉼표 [0] 9" xfId="197" xr:uid="{8561055F-6529-4CFA-A963-E9DEE680FBAF}"/>
    <cellStyle name="좋음 2" xfId="9" xr:uid="{00000000-0005-0000-0000-00002B000000}"/>
    <cellStyle name="콤마 [0]_  REVIEW  " xfId="51" xr:uid="{00000000-0005-0000-0000-00002C000000}"/>
    <cellStyle name="콤마_  REVIEW  " xfId="52" xr:uid="{00000000-0005-0000-0000-00002D000000}"/>
    <cellStyle name="표준" xfId="0" builtinId="0"/>
    <cellStyle name="표준 12" xfId="53" xr:uid="{00000000-0005-0000-0000-00002F000000}"/>
    <cellStyle name="표준 2" xfId="2" xr:uid="{00000000-0005-0000-0000-000030000000}"/>
    <cellStyle name="표준 2 2" xfId="55" xr:uid="{00000000-0005-0000-0000-000031000000}"/>
    <cellStyle name="표준 2 3" xfId="54" xr:uid="{00000000-0005-0000-0000-000032000000}"/>
    <cellStyle name="표준 3" xfId="8" xr:uid="{00000000-0005-0000-0000-000033000000}"/>
    <cellStyle name="표준 3 2" xfId="5" xr:uid="{00000000-0005-0000-0000-000034000000}"/>
    <cellStyle name="표준 3 3" xfId="58" xr:uid="{05628464-C3D7-48D0-9A6A-B88866B12E93}"/>
    <cellStyle name="표준 3 3 2" xfId="64" xr:uid="{37E1D33A-5992-403F-823B-10122D7D9A8E}"/>
    <cellStyle name="표준 3 3 2 2" xfId="76" xr:uid="{8AE65C7B-7437-43FA-B4CB-B4262B5B3896}"/>
    <cellStyle name="표준 3 3 2 2 2" xfId="100" xr:uid="{94E7B4FC-006C-4BF1-9F65-2BA4F323D612}"/>
    <cellStyle name="표준 3 3 2 2 2 2" xfId="148" xr:uid="{F36E30BA-BD8B-43DC-8E93-FDD1ECE120B8}"/>
    <cellStyle name="표준 3 3 2 2 2 2 2" xfId="292" xr:uid="{980D73C0-4520-48EF-B39D-BA58645BE5E0}"/>
    <cellStyle name="표준 3 3 2 2 2 3" xfId="196" xr:uid="{972ACB7D-816B-499C-89CB-590CB48E5EE6}"/>
    <cellStyle name="표준 3 3 2 2 2 3 2" xfId="340" xr:uid="{B6B35DEB-805C-42A6-A1EC-A3E85C2D6D60}"/>
    <cellStyle name="표준 3 3 2 2 2 4" xfId="244" xr:uid="{E38A3318-9928-4921-B916-F0CED2050866}"/>
    <cellStyle name="표준 3 3 2 2 3" xfId="124" xr:uid="{8DCC9911-85AD-46DE-93C0-FDB9821CF719}"/>
    <cellStyle name="표준 3 3 2 2 3 2" xfId="268" xr:uid="{CE113E02-74AB-4FA1-B47D-802F6745110F}"/>
    <cellStyle name="표준 3 3 2 2 4" xfId="172" xr:uid="{F59EB860-E245-4011-88B1-2F239C6E58BD}"/>
    <cellStyle name="표준 3 3 2 2 4 2" xfId="316" xr:uid="{95385182-4812-449A-94D7-4D35D87A6764}"/>
    <cellStyle name="표준 3 3 2 2 5" xfId="220" xr:uid="{7F20EA68-AACD-49C8-BE7C-1DE65838A86D}"/>
    <cellStyle name="표준 3 3 2 3" xfId="88" xr:uid="{B236F68A-C1A8-48BE-898A-49A84E3C3B56}"/>
    <cellStyle name="표준 3 3 2 3 2" xfId="136" xr:uid="{C62208DC-9489-4FB8-8DF7-8BB80F36204C}"/>
    <cellStyle name="표준 3 3 2 3 2 2" xfId="280" xr:uid="{ABFD94EF-966F-404C-8D64-D53012F09DA1}"/>
    <cellStyle name="표준 3 3 2 3 3" xfId="184" xr:uid="{74714496-CB60-4E03-8AE3-92FB7A1ABAAD}"/>
    <cellStyle name="표준 3 3 2 3 3 2" xfId="328" xr:uid="{EA956791-2833-4BF6-83D5-2AD0AD0EAEF8}"/>
    <cellStyle name="표준 3 3 2 3 4" xfId="232" xr:uid="{BA0094E8-EF46-4CBF-9259-FBB749870F4C}"/>
    <cellStyle name="표준 3 3 2 4" xfId="112" xr:uid="{4C4F8597-F212-485F-9B29-894E560BC950}"/>
    <cellStyle name="표준 3 3 2 4 2" xfId="256" xr:uid="{88E19411-7ED9-435A-8237-463585686ED5}"/>
    <cellStyle name="표준 3 3 2 5" xfId="160" xr:uid="{3514C3FA-C32F-4FE9-8FCA-BB3C0983A3FC}"/>
    <cellStyle name="표준 3 3 2 5 2" xfId="304" xr:uid="{8FDF1FD9-A5E1-4D72-BA6F-68B65EB8DDBC}"/>
    <cellStyle name="표준 3 3 2 6" xfId="208" xr:uid="{F6B29259-39B3-4B75-B4BA-1C719945916C}"/>
    <cellStyle name="표준 3 3 3" xfId="70" xr:uid="{2ED10AF3-0077-4047-9860-A2194B00E00D}"/>
    <cellStyle name="표준 3 3 3 2" xfId="94" xr:uid="{07AC329C-31B0-4054-A5AB-4B3957C94ACF}"/>
    <cellStyle name="표준 3 3 3 2 2" xfId="142" xr:uid="{F6FD579E-3274-432A-816C-0B526DC941CB}"/>
    <cellStyle name="표준 3 3 3 2 2 2" xfId="286" xr:uid="{75101FCE-C7DC-48F0-A308-12A5F98A9021}"/>
    <cellStyle name="표준 3 3 3 2 3" xfId="190" xr:uid="{9B720E4F-E95E-4F4C-A362-AC75F98D80E6}"/>
    <cellStyle name="표준 3 3 3 2 3 2" xfId="334" xr:uid="{548C7CB6-1BC6-4ECE-9669-268B85B6AA8C}"/>
    <cellStyle name="표준 3 3 3 2 4" xfId="238" xr:uid="{295844B6-731B-48E9-8278-53AA743AFEA2}"/>
    <cellStyle name="표준 3 3 3 3" xfId="118" xr:uid="{AFA7A073-CB6D-4E1A-87B6-9826A3F0854E}"/>
    <cellStyle name="표준 3 3 3 3 2" xfId="262" xr:uid="{20A28E3E-358E-4C38-998A-D555FA61EAE4}"/>
    <cellStyle name="표준 3 3 3 4" xfId="166" xr:uid="{E3B76A1C-9F09-472F-9217-C6D0DEC72AF7}"/>
    <cellStyle name="표준 3 3 3 4 2" xfId="310" xr:uid="{DE8858BB-0B49-4B5E-8BE4-F91D26CFA3F2}"/>
    <cellStyle name="표준 3 3 3 5" xfId="214" xr:uid="{63510223-0CB8-4C1A-88E0-188D80FE913A}"/>
    <cellStyle name="표준 3 3 4" xfId="82" xr:uid="{64CA0DF2-6B8A-457B-A407-C1C818A2FA1F}"/>
    <cellStyle name="표준 3 3 4 2" xfId="130" xr:uid="{DB2BC6E7-276F-4018-83B3-7A3878AC72F8}"/>
    <cellStyle name="표준 3 3 4 2 2" xfId="274" xr:uid="{EC111011-17E4-45C8-9D38-6C78B658E5A5}"/>
    <cellStyle name="표준 3 3 4 3" xfId="178" xr:uid="{169BB292-71C8-485C-97DD-76F3440F632D}"/>
    <cellStyle name="표준 3 3 4 3 2" xfId="322" xr:uid="{67ABBD0A-57D0-43F4-B52B-B9F0FD6446D1}"/>
    <cellStyle name="표준 3 3 4 4" xfId="226" xr:uid="{AE89DCBF-9941-4025-8EA8-31EBFA1D7C43}"/>
    <cellStyle name="표준 3 3 5" xfId="106" xr:uid="{249DD62A-5275-427D-8DDD-F24FA7DD65C1}"/>
    <cellStyle name="표준 3 3 5 2" xfId="250" xr:uid="{A2582824-C8E5-4679-A1CF-DD37A0A25559}"/>
    <cellStyle name="표준 3 3 6" xfId="154" xr:uid="{4536BD5E-9350-477C-99A5-06EBB4549CB4}"/>
    <cellStyle name="표준 3 3 6 2" xfId="298" xr:uid="{F7CE5C01-1459-4748-9F53-CEEBAD6A1F62}"/>
    <cellStyle name="표준 3 3 7" xfId="202" xr:uid="{78EDB3DA-7618-4FD9-98DE-F1C1698B8618}"/>
    <cellStyle name="표준 3 4" xfId="61" xr:uid="{66306536-0F86-4239-82F7-931AFC3B7FC3}"/>
    <cellStyle name="표준 3 4 2" xfId="73" xr:uid="{20146EBA-D179-4F89-AF20-7417A6B258C4}"/>
    <cellStyle name="표준 3 4 2 2" xfId="97" xr:uid="{8EE1D1A3-85A7-4AA6-9B8E-970F75D1CEE5}"/>
    <cellStyle name="표준 3 4 2 2 2" xfId="145" xr:uid="{2DD3355B-0740-4B5D-AC58-E411DD36D8BA}"/>
    <cellStyle name="표준 3 4 2 2 2 2" xfId="289" xr:uid="{A84194C2-DBEC-4874-8D4F-FB38D73779D6}"/>
    <cellStyle name="표준 3 4 2 2 3" xfId="193" xr:uid="{4D2C246E-4AE1-4D1A-8C40-85758C8C0A51}"/>
    <cellStyle name="표준 3 4 2 2 3 2" xfId="337" xr:uid="{AE1061C5-710E-4DD7-89B9-112FCB2F54CC}"/>
    <cellStyle name="표준 3 4 2 2 4" xfId="241" xr:uid="{DF2C02C5-94D6-41D1-98B1-F9218662E215}"/>
    <cellStyle name="표준 3 4 2 3" xfId="121" xr:uid="{5FAC5BDC-BE36-44FD-BD2D-B0B004BB0E60}"/>
    <cellStyle name="표준 3 4 2 3 2" xfId="265" xr:uid="{942F76FA-C338-4A61-AF24-FF85D5E95277}"/>
    <cellStyle name="표준 3 4 2 4" xfId="169" xr:uid="{48D327AE-90F1-49DC-90BC-814764173D46}"/>
    <cellStyle name="표준 3 4 2 4 2" xfId="313" xr:uid="{61867AC4-49C0-44AF-B527-815DEC2E7536}"/>
    <cellStyle name="표준 3 4 2 5" xfId="217" xr:uid="{99D72A8D-2B91-4830-8AF5-28F2635F6921}"/>
    <cellStyle name="표준 3 4 3" xfId="85" xr:uid="{AA341ED4-71D5-4A12-A055-878D157B7B87}"/>
    <cellStyle name="표준 3 4 3 2" xfId="133" xr:uid="{B21B7380-B9AD-4DA1-BE7D-D8A6FE87DACF}"/>
    <cellStyle name="표준 3 4 3 2 2" xfId="277" xr:uid="{C39AD6D1-6AC0-4CD5-882B-CAFC72815356}"/>
    <cellStyle name="표준 3 4 3 3" xfId="181" xr:uid="{4256BC3E-FAD7-481D-A9D3-1956810183BA}"/>
    <cellStyle name="표준 3 4 3 3 2" xfId="325" xr:uid="{BC05B01C-EDF4-412F-BFB6-1504AF82A5C6}"/>
    <cellStyle name="표준 3 4 3 4" xfId="229" xr:uid="{4C5579B1-7988-4931-BE1E-462961A23278}"/>
    <cellStyle name="표준 3 4 4" xfId="109" xr:uid="{E1E0997B-3BF0-42DB-AED8-99B962950C3F}"/>
    <cellStyle name="표준 3 4 4 2" xfId="253" xr:uid="{3CB2C2F2-37CA-4F3A-A3BF-8E97CDF49BAE}"/>
    <cellStyle name="표준 3 4 5" xfId="157" xr:uid="{3993FAC9-7F97-4329-84CC-33CAE2623B37}"/>
    <cellStyle name="표준 3 4 5 2" xfId="301" xr:uid="{A25A7C54-0D4D-4AB1-B178-26241825AEF1}"/>
    <cellStyle name="표준 3 4 6" xfId="205" xr:uid="{19D4AECA-AC81-4083-AB1C-B47FBC459C00}"/>
    <cellStyle name="표준 3 5" xfId="67" xr:uid="{496A8032-6C4B-4D58-BF21-9D1AC3004548}"/>
    <cellStyle name="표준 3 5 2" xfId="91" xr:uid="{5CEF34C0-B6AA-49D5-9DC8-A2C8059BE4F4}"/>
    <cellStyle name="표준 3 5 2 2" xfId="139" xr:uid="{67F6D39C-2044-4547-876F-035D25B75640}"/>
    <cellStyle name="표준 3 5 2 2 2" xfId="283" xr:uid="{6C667CC1-0F72-4C7F-A569-1EFF4A293B3C}"/>
    <cellStyle name="표준 3 5 2 3" xfId="187" xr:uid="{49CE3C9D-3E51-4F8E-8397-E98A1C4C53B6}"/>
    <cellStyle name="표준 3 5 2 3 2" xfId="331" xr:uid="{FB630E70-6A86-4144-8B2F-A46C351D5532}"/>
    <cellStyle name="표준 3 5 2 4" xfId="235" xr:uid="{D60C942D-025F-4FB6-88D0-E04A54EEF416}"/>
    <cellStyle name="표준 3 5 3" xfId="115" xr:uid="{86389487-8B24-4849-9DBB-D1AC204BFC76}"/>
    <cellStyle name="표준 3 5 3 2" xfId="259" xr:uid="{7DD650C2-AC9B-4DD7-9E0D-BB8DFE56986A}"/>
    <cellStyle name="표준 3 5 4" xfId="163" xr:uid="{1A1BC243-385B-40FE-98AF-5B875A9930DA}"/>
    <cellStyle name="표준 3 5 4 2" xfId="307" xr:uid="{BA589DAE-03B1-41AA-83DC-9BC20A745F58}"/>
    <cellStyle name="표준 3 5 5" xfId="211" xr:uid="{69A9C40B-296E-4567-B403-015CAAE811F1}"/>
    <cellStyle name="표준 3 6" xfId="79" xr:uid="{BFDE678E-DDEA-4C9A-8B5A-E5D3531D5A5F}"/>
    <cellStyle name="표준 3 6 2" xfId="127" xr:uid="{8F2CD623-E4D8-4E74-A6F6-04FCE6F21DF6}"/>
    <cellStyle name="표준 3 6 2 2" xfId="271" xr:uid="{6BFFE448-A440-4A47-BC5C-7182196B4571}"/>
    <cellStyle name="표준 3 6 3" xfId="175" xr:uid="{4F03A27B-1BB4-41EF-A59F-F50A0FF4EB45}"/>
    <cellStyle name="표준 3 6 3 2" xfId="319" xr:uid="{75882261-377C-488C-8BC8-ABF5E2B51F6C}"/>
    <cellStyle name="표준 3 6 4" xfId="223" xr:uid="{2F1A5E02-FF7B-417A-A493-4F9956D9BBDD}"/>
    <cellStyle name="표준 3 7" xfId="103" xr:uid="{AFAE94BC-CC5E-410C-9F7F-0175D583E663}"/>
    <cellStyle name="표준 3 7 2" xfId="247" xr:uid="{85D0908E-AD2B-43DC-9BED-B3C19A515394}"/>
    <cellStyle name="표준 3 8" xfId="151" xr:uid="{3B6F1975-DBF4-42AE-8ECB-AE8AB24867E5}"/>
    <cellStyle name="표준 3 8 2" xfId="295" xr:uid="{F407A08D-6864-4939-BA04-CD96D839CCD5}"/>
    <cellStyle name="표준 3 9" xfId="199" xr:uid="{F2B2CE32-B5DD-4315-95B3-F2D18989958E}"/>
    <cellStyle name="표준 4" xfId="342" xr:uid="{2A1DCC2C-DD3B-43AC-AB26-9470A0594CCB}"/>
    <cellStyle name="표준 5" xfId="341" xr:uid="{41FE0ECF-78FF-4574-BC12-E986F38FA367}"/>
    <cellStyle name="표준_3년 차수" xfId="3" xr:uid="{00000000-0005-0000-0000-000035000000}"/>
    <cellStyle name="표준_HDC_도안 현황" xfId="6" xr:uid="{00000000-0005-0000-0000-000036000000}"/>
    <cellStyle name="표준_도안발주업무양식(VQ 수출)" xfId="4" xr:uid="{00000000-0005-0000-0000-00003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Q73"/>
  <sheetViews>
    <sheetView tabSelected="1" topLeftCell="A4" workbookViewId="0">
      <selection activeCell="G44" sqref="G44"/>
    </sheetView>
  </sheetViews>
  <sheetFormatPr defaultColWidth="8.75" defaultRowHeight="13.5"/>
  <cols>
    <col min="1" max="1" width="1" style="5" customWidth="1"/>
    <col min="2" max="2" width="14" style="5" customWidth="1"/>
    <col min="3" max="3" width="19" style="4" bestFit="1" customWidth="1"/>
    <col min="4" max="4" width="11.875" style="4" customWidth="1"/>
    <col min="5" max="6" width="10" style="4" customWidth="1"/>
    <col min="7" max="7" width="12.75" style="4" customWidth="1"/>
    <col min="8" max="8" width="14" style="5" customWidth="1"/>
    <col min="9" max="9" width="14" style="4" customWidth="1"/>
    <col min="10" max="10" width="8.75" style="11"/>
    <col min="11" max="13" width="8.75" style="18"/>
    <col min="14" max="14" width="8.75" style="4"/>
    <col min="15" max="16" width="8.875" style="5" bestFit="1" customWidth="1"/>
    <col min="17" max="17" width="11.25" style="5" bestFit="1" customWidth="1"/>
    <col min="18" max="16384" width="8.75" style="5"/>
  </cols>
  <sheetData>
    <row r="1" spans="2:17" ht="35.25">
      <c r="B1" s="2" t="s">
        <v>6</v>
      </c>
      <c r="C1" s="3"/>
    </row>
    <row r="2" spans="2:17" ht="11.25" customHeight="1">
      <c r="B2" s="2"/>
      <c r="C2" s="6"/>
      <c r="D2" s="7"/>
      <c r="E2" s="7"/>
      <c r="F2" s="7"/>
      <c r="I2" s="8"/>
    </row>
    <row r="3" spans="2:17" ht="18.75" customHeight="1">
      <c r="B3" s="5" t="s">
        <v>7</v>
      </c>
      <c r="C3" s="31" t="str">
        <f ca="1">'작업의뢰 내역'!I5</f>
        <v>MV1_EV_27MY_KO</v>
      </c>
      <c r="E3" s="9"/>
      <c r="F3" s="9"/>
      <c r="H3" s="1"/>
      <c r="I3" s="1"/>
    </row>
    <row r="4" spans="2:17" ht="18.75" customHeight="1">
      <c r="B4" s="5" t="s">
        <v>8</v>
      </c>
      <c r="C4" s="17" t="s">
        <v>17</v>
      </c>
      <c r="H4" s="1"/>
      <c r="I4" s="1"/>
    </row>
    <row r="5" spans="2:17" ht="18.75" customHeight="1">
      <c r="C5" s="10"/>
      <c r="D5" s="10"/>
      <c r="J5" s="18"/>
      <c r="L5" s="19"/>
      <c r="M5" s="19"/>
      <c r="N5" s="19"/>
      <c r="O5" s="19"/>
      <c r="P5" s="19"/>
      <c r="Q5" s="19"/>
    </row>
    <row r="6" spans="2:17" s="11" customFormat="1" ht="22.5" customHeight="1">
      <c r="B6" s="23" t="s">
        <v>9</v>
      </c>
      <c r="C6" s="23" t="s">
        <v>10</v>
      </c>
      <c r="D6" s="23" t="s">
        <v>11</v>
      </c>
      <c r="E6" s="23" t="s">
        <v>12</v>
      </c>
      <c r="F6" s="23" t="s">
        <v>13</v>
      </c>
      <c r="G6" s="24" t="s">
        <v>14</v>
      </c>
      <c r="H6" s="23" t="s">
        <v>15</v>
      </c>
      <c r="J6" s="18"/>
      <c r="K6" s="18"/>
      <c r="L6" s="19"/>
      <c r="M6" s="19"/>
      <c r="N6" s="19"/>
      <c r="O6" s="19"/>
      <c r="P6" s="19"/>
      <c r="Q6" s="19"/>
    </row>
    <row r="7" spans="2:17" ht="13.5" customHeight="1">
      <c r="B7" s="77" t="str">
        <f ca="1">'작업의뢰 내역'!I5</f>
        <v>MV1_EV_27MY_KO</v>
      </c>
      <c r="C7" s="80" t="str">
        <f>IF('작업의뢰 내역'!D5="요약본","Q","1")</f>
        <v>Q</v>
      </c>
      <c r="D7" s="20" t="s">
        <v>1</v>
      </c>
      <c r="E7" s="20">
        <v>4500</v>
      </c>
      <c r="F7" s="21">
        <f>COUNTIF('작업의뢰 내역'!$J$1:$J$1567,C7)</f>
        <v>215</v>
      </c>
      <c r="G7" s="21">
        <f t="shared" ref="G7:G11" si="0">E7*F7</f>
        <v>967500</v>
      </c>
      <c r="H7" s="12"/>
      <c r="I7" s="5"/>
      <c r="J7" s="18"/>
      <c r="L7" s="19"/>
      <c r="M7" s="19"/>
      <c r="N7" s="19"/>
      <c r="O7" s="19"/>
      <c r="P7" s="19"/>
      <c r="Q7" s="19"/>
    </row>
    <row r="8" spans="2:17" ht="13.5" customHeight="1">
      <c r="B8" s="78"/>
      <c r="C8" s="81"/>
      <c r="D8" s="20" t="s">
        <v>0</v>
      </c>
      <c r="E8" s="20">
        <v>4500</v>
      </c>
      <c r="F8" s="21">
        <f>COUNTIF('작업의뢰 내역'!$J$1:$J$571,C8)</f>
        <v>0</v>
      </c>
      <c r="G8" s="30" t="s">
        <v>20</v>
      </c>
      <c r="H8" s="12"/>
      <c r="I8" s="5"/>
      <c r="J8" s="18"/>
      <c r="L8" s="19"/>
      <c r="M8" s="19"/>
      <c r="N8" s="19"/>
      <c r="O8" s="19"/>
      <c r="P8" s="19"/>
      <c r="Q8" s="19"/>
    </row>
    <row r="9" spans="2:17" ht="13.5" customHeight="1">
      <c r="B9" s="78"/>
      <c r="C9" s="75" t="str">
        <f>IF(C7="Q","1","2")</f>
        <v>1</v>
      </c>
      <c r="D9" s="20" t="s">
        <v>1</v>
      </c>
      <c r="E9" s="21">
        <v>4500</v>
      </c>
      <c r="F9" s="21">
        <f>COUNTIF('작업의뢰 내역'!$J$1:$J$1567,C9)</f>
        <v>0</v>
      </c>
      <c r="G9" s="21">
        <f t="shared" ref="G9" si="1">E9*F9</f>
        <v>0</v>
      </c>
      <c r="H9" s="12"/>
      <c r="I9" s="5"/>
      <c r="J9" s="18"/>
      <c r="L9" s="19"/>
      <c r="M9" s="19"/>
      <c r="N9" s="19"/>
      <c r="O9" s="19"/>
      <c r="P9" s="19"/>
      <c r="Q9" s="19"/>
    </row>
    <row r="10" spans="2:17" ht="13.5" customHeight="1">
      <c r="B10" s="78"/>
      <c r="C10" s="76"/>
      <c r="D10" s="20" t="s">
        <v>0</v>
      </c>
      <c r="E10" s="20">
        <v>4500</v>
      </c>
      <c r="F10" s="21">
        <f>COUNTIF('작업의뢰 내역'!$J$1:$J$571,C10)</f>
        <v>0</v>
      </c>
      <c r="G10" s="30" t="s">
        <v>20</v>
      </c>
      <c r="H10" s="12"/>
      <c r="I10" s="5"/>
      <c r="J10" s="18"/>
      <c r="L10" s="19"/>
      <c r="M10" s="19"/>
      <c r="N10" s="19"/>
      <c r="O10" s="19"/>
      <c r="P10" s="19"/>
      <c r="Q10" s="19"/>
    </row>
    <row r="11" spans="2:17" ht="13.5" customHeight="1">
      <c r="B11" s="78"/>
      <c r="C11" s="75">
        <f>C9+1</f>
        <v>2</v>
      </c>
      <c r="D11" s="20" t="s">
        <v>1</v>
      </c>
      <c r="E11" s="20">
        <v>4500</v>
      </c>
      <c r="F11" s="21">
        <f>COUNTIF('작업의뢰 내역'!$J$1:$J$1567,C11)</f>
        <v>87</v>
      </c>
      <c r="G11" s="21">
        <f t="shared" si="0"/>
        <v>391500</v>
      </c>
      <c r="H11" s="12"/>
      <c r="I11" s="5"/>
      <c r="J11" s="18"/>
      <c r="L11" s="19"/>
      <c r="M11" s="19"/>
      <c r="N11" s="19"/>
      <c r="O11" s="19"/>
      <c r="P11" s="19"/>
      <c r="Q11" s="19"/>
    </row>
    <row r="12" spans="2:17" ht="13.5" customHeight="1">
      <c r="B12" s="78"/>
      <c r="C12" s="76"/>
      <c r="D12" s="20" t="s">
        <v>0</v>
      </c>
      <c r="E12" s="21">
        <v>4500</v>
      </c>
      <c r="F12" s="21">
        <f>COUNTIF('작업의뢰 내역'!$J$1:$J$571,C12)</f>
        <v>0</v>
      </c>
      <c r="G12" s="30" t="s">
        <v>20</v>
      </c>
      <c r="H12" s="12"/>
      <c r="I12" s="5"/>
      <c r="J12" s="18"/>
      <c r="L12" s="19"/>
      <c r="M12" s="19"/>
      <c r="N12" s="19"/>
      <c r="O12" s="19"/>
      <c r="P12" s="19"/>
      <c r="Q12" s="19"/>
    </row>
    <row r="13" spans="2:17" ht="13.5" customHeight="1">
      <c r="B13" s="78"/>
      <c r="C13" s="75">
        <f t="shared" ref="C13" si="2">C11+1</f>
        <v>3</v>
      </c>
      <c r="D13" s="20" t="s">
        <v>1</v>
      </c>
      <c r="E13" s="20">
        <v>4500</v>
      </c>
      <c r="F13" s="21">
        <f>COUNTIF('작업의뢰 내역'!$J$1:$J$1567,C13)</f>
        <v>112</v>
      </c>
      <c r="G13" s="21">
        <f t="shared" ref="G13" si="3">E13*F13</f>
        <v>504000</v>
      </c>
      <c r="H13" s="12"/>
      <c r="I13" s="5"/>
      <c r="J13" s="18"/>
      <c r="L13" s="19"/>
      <c r="M13" s="19"/>
      <c r="N13" s="19"/>
      <c r="O13" s="19"/>
      <c r="P13" s="19"/>
      <c r="Q13" s="19"/>
    </row>
    <row r="14" spans="2:17" ht="13.5" customHeight="1">
      <c r="B14" s="78"/>
      <c r="C14" s="76"/>
      <c r="D14" s="20" t="s">
        <v>0</v>
      </c>
      <c r="E14" s="20">
        <v>4500</v>
      </c>
      <c r="F14" s="21">
        <f>COUNTIF('작업의뢰 내역'!$J$1:$J$571,C14)</f>
        <v>0</v>
      </c>
      <c r="G14" s="30" t="s">
        <v>20</v>
      </c>
      <c r="H14" s="12"/>
      <c r="I14" s="5"/>
      <c r="J14" s="18"/>
      <c r="L14" s="19"/>
      <c r="M14" s="19"/>
      <c r="N14" s="19"/>
      <c r="O14" s="19"/>
      <c r="P14" s="19"/>
      <c r="Q14" s="19"/>
    </row>
    <row r="15" spans="2:17" ht="13.5" customHeight="1">
      <c r="B15" s="78"/>
      <c r="C15" s="75">
        <f t="shared" ref="C15" si="4">C13+1</f>
        <v>4</v>
      </c>
      <c r="D15" s="20" t="s">
        <v>1</v>
      </c>
      <c r="E15" s="21">
        <v>4500</v>
      </c>
      <c r="F15" s="21">
        <f>COUNTIF('작업의뢰 내역'!$J$1:$J$1567,C15)</f>
        <v>18</v>
      </c>
      <c r="G15" s="21">
        <f t="shared" ref="G15" si="5">E15*F15</f>
        <v>81000</v>
      </c>
      <c r="H15" s="12"/>
      <c r="I15" s="5"/>
      <c r="J15" s="18"/>
      <c r="L15" s="19"/>
      <c r="M15" s="19"/>
      <c r="N15" s="19"/>
      <c r="O15" s="19"/>
      <c r="P15" s="19"/>
      <c r="Q15" s="19"/>
    </row>
    <row r="16" spans="2:17" ht="13.5" customHeight="1">
      <c r="B16" s="78"/>
      <c r="C16" s="76"/>
      <c r="D16" s="20" t="s">
        <v>0</v>
      </c>
      <c r="E16" s="20">
        <v>4500</v>
      </c>
      <c r="F16" s="21">
        <f>COUNTIF('작업의뢰 내역'!$J$1:$J$571,C16)</f>
        <v>0</v>
      </c>
      <c r="G16" s="30" t="s">
        <v>20</v>
      </c>
      <c r="H16" s="12"/>
      <c r="I16" s="5"/>
      <c r="J16" s="18"/>
      <c r="L16" s="19"/>
      <c r="M16" s="19"/>
      <c r="N16" s="19"/>
      <c r="O16" s="19"/>
      <c r="P16" s="19"/>
      <c r="Q16" s="19"/>
    </row>
    <row r="17" spans="2:17" ht="13.5" customHeight="1">
      <c r="B17" s="78"/>
      <c r="C17" s="75">
        <f t="shared" ref="C17" si="6">C15+1</f>
        <v>5</v>
      </c>
      <c r="D17" s="20" t="s">
        <v>1</v>
      </c>
      <c r="E17" s="20">
        <v>4500</v>
      </c>
      <c r="F17" s="21">
        <f>COUNTIF('작업의뢰 내역'!$J$1:$J$1567,C17)</f>
        <v>105</v>
      </c>
      <c r="G17" s="21">
        <f t="shared" ref="G17:G19" si="7">E17*F17</f>
        <v>472500</v>
      </c>
      <c r="H17" s="12"/>
      <c r="I17" s="5"/>
      <c r="J17" s="18"/>
      <c r="L17" s="19"/>
      <c r="M17" s="19"/>
      <c r="N17" s="19"/>
      <c r="O17" s="19"/>
      <c r="P17" s="19"/>
      <c r="Q17" s="19"/>
    </row>
    <row r="18" spans="2:17" ht="13.5" customHeight="1">
      <c r="B18" s="78"/>
      <c r="C18" s="76"/>
      <c r="D18" s="20" t="s">
        <v>0</v>
      </c>
      <c r="E18" s="21">
        <v>4500</v>
      </c>
      <c r="F18" s="21">
        <f>COUNTIF('작업의뢰 내역'!$J$1:$J$571,C18)</f>
        <v>0</v>
      </c>
      <c r="G18" s="30" t="s">
        <v>20</v>
      </c>
      <c r="H18" s="12"/>
      <c r="I18" s="5"/>
      <c r="J18" s="18"/>
      <c r="L18" s="19"/>
      <c r="M18" s="19"/>
      <c r="N18" s="19"/>
      <c r="O18" s="19"/>
      <c r="P18" s="19"/>
      <c r="Q18" s="19"/>
    </row>
    <row r="19" spans="2:17" ht="13.5" customHeight="1">
      <c r="B19" s="78"/>
      <c r="C19" s="75">
        <f t="shared" ref="C19" si="8">C17+1</f>
        <v>6</v>
      </c>
      <c r="D19" s="20" t="s">
        <v>1</v>
      </c>
      <c r="E19" s="20">
        <v>4500</v>
      </c>
      <c r="F19" s="21">
        <f>COUNTIF('작업의뢰 내역'!$J$1:$J$1567,C19)</f>
        <v>5</v>
      </c>
      <c r="G19" s="21">
        <f t="shared" si="7"/>
        <v>22500</v>
      </c>
      <c r="H19" s="12"/>
      <c r="I19" s="5"/>
      <c r="J19" s="18"/>
      <c r="L19" s="19"/>
      <c r="M19" s="19"/>
      <c r="N19" s="19"/>
      <c r="O19" s="19"/>
      <c r="P19" s="19"/>
      <c r="Q19" s="19"/>
    </row>
    <row r="20" spans="2:17" ht="13.5" customHeight="1">
      <c r="B20" s="78"/>
      <c r="C20" s="76"/>
      <c r="D20" s="20" t="s">
        <v>0</v>
      </c>
      <c r="E20" s="20">
        <v>4500</v>
      </c>
      <c r="F20" s="21">
        <f>COUNTIF('작업의뢰 내역'!$J$1:$J$571,C20)</f>
        <v>0</v>
      </c>
      <c r="G20" s="30" t="s">
        <v>20</v>
      </c>
      <c r="H20" s="12"/>
      <c r="I20" s="5"/>
      <c r="J20" s="18"/>
      <c r="L20" s="19"/>
      <c r="M20" s="19"/>
      <c r="N20" s="19"/>
      <c r="O20" s="19"/>
      <c r="P20" s="19"/>
      <c r="Q20" s="19"/>
    </row>
    <row r="21" spans="2:17" ht="13.5" customHeight="1">
      <c r="B21" s="78"/>
      <c r="C21" s="75">
        <f t="shared" ref="C21" si="9">C19+1</f>
        <v>7</v>
      </c>
      <c r="D21" s="20" t="s">
        <v>1</v>
      </c>
      <c r="E21" s="21">
        <v>4500</v>
      </c>
      <c r="F21" s="21">
        <f>COUNTIF('작업의뢰 내역'!$J$1:$J$1567,C21)</f>
        <v>21</v>
      </c>
      <c r="G21" s="21">
        <f t="shared" ref="G21" si="10">E21*F21</f>
        <v>94500</v>
      </c>
      <c r="H21" s="12"/>
      <c r="I21" s="5"/>
      <c r="J21" s="18"/>
      <c r="L21" s="19"/>
      <c r="M21" s="19"/>
      <c r="N21" s="19"/>
      <c r="O21" s="19"/>
      <c r="P21" s="19"/>
      <c r="Q21" s="19"/>
    </row>
    <row r="22" spans="2:17" ht="13.5" customHeight="1">
      <c r="B22" s="78"/>
      <c r="C22" s="76"/>
      <c r="D22" s="20" t="s">
        <v>0</v>
      </c>
      <c r="E22" s="20">
        <v>4500</v>
      </c>
      <c r="F22" s="21">
        <f>COUNTIF('작업의뢰 내역'!$J$1:$J$571,C22)</f>
        <v>0</v>
      </c>
      <c r="G22" s="30" t="s">
        <v>20</v>
      </c>
      <c r="H22" s="12"/>
      <c r="I22" s="5"/>
      <c r="J22" s="33"/>
      <c r="L22" s="19"/>
      <c r="M22" s="19"/>
      <c r="N22" s="19"/>
      <c r="O22" s="19"/>
      <c r="P22" s="19"/>
      <c r="Q22" s="19"/>
    </row>
    <row r="23" spans="2:17" ht="13.5" customHeight="1">
      <c r="B23" s="78"/>
      <c r="C23" s="75">
        <f t="shared" ref="C23" si="11">C21+1</f>
        <v>8</v>
      </c>
      <c r="D23" s="20" t="s">
        <v>1</v>
      </c>
      <c r="E23" s="21">
        <v>4500</v>
      </c>
      <c r="F23" s="21">
        <f>COUNTIF('작업의뢰 내역'!$J$1:$J$1567,C23)</f>
        <v>4</v>
      </c>
      <c r="G23" s="21">
        <f t="shared" ref="G23" si="12">E23*F23</f>
        <v>18000</v>
      </c>
      <c r="H23" s="12"/>
      <c r="I23" s="5"/>
      <c r="J23" s="18"/>
      <c r="L23" s="19"/>
      <c r="M23" s="19"/>
      <c r="N23" s="19"/>
      <c r="O23" s="19"/>
      <c r="P23" s="19"/>
      <c r="Q23" s="19"/>
    </row>
    <row r="24" spans="2:17" ht="13.5" customHeight="1">
      <c r="B24" s="78"/>
      <c r="C24" s="76"/>
      <c r="D24" s="20" t="s">
        <v>0</v>
      </c>
      <c r="E24" s="20">
        <v>4500</v>
      </c>
      <c r="F24" s="21">
        <f>COUNTIF('작업의뢰 내역'!$J$1:$J$571,C24)</f>
        <v>0</v>
      </c>
      <c r="G24" s="30" t="s">
        <v>20</v>
      </c>
      <c r="H24" s="12"/>
      <c r="I24" s="5"/>
      <c r="J24" s="18"/>
      <c r="L24" s="19"/>
      <c r="M24" s="19"/>
      <c r="N24" s="19"/>
      <c r="O24" s="19"/>
      <c r="P24" s="19"/>
      <c r="Q24" s="19"/>
    </row>
    <row r="25" spans="2:17" ht="13.5" customHeight="1">
      <c r="B25" s="78"/>
      <c r="C25" s="75">
        <f t="shared" ref="C25:C29" si="13">C23+1</f>
        <v>9</v>
      </c>
      <c r="D25" s="20" t="s">
        <v>1</v>
      </c>
      <c r="E25" s="21">
        <v>4500</v>
      </c>
      <c r="F25" s="21">
        <f>COUNTIF('작업의뢰 내역'!$J$1:$J$1567,C25)</f>
        <v>0</v>
      </c>
      <c r="G25" s="21">
        <f>E25*F25</f>
        <v>0</v>
      </c>
      <c r="H25" s="12"/>
      <c r="I25" s="5"/>
      <c r="J25" s="18"/>
      <c r="L25" s="19"/>
      <c r="M25" s="19"/>
      <c r="N25" s="19"/>
      <c r="O25" s="19"/>
      <c r="P25" s="19"/>
      <c r="Q25" s="19"/>
    </row>
    <row r="26" spans="2:17" ht="13.5" customHeight="1">
      <c r="B26" s="78"/>
      <c r="C26" s="76"/>
      <c r="D26" s="20" t="s">
        <v>0</v>
      </c>
      <c r="E26" s="21">
        <v>4500</v>
      </c>
      <c r="F26" s="21">
        <f>COUNTIF('작업의뢰 내역'!$J$1:$J$571,C26)</f>
        <v>0</v>
      </c>
      <c r="G26" s="21"/>
      <c r="H26" s="12"/>
      <c r="I26" s="5"/>
      <c r="J26" s="18"/>
      <c r="L26" s="19"/>
      <c r="M26" s="19"/>
      <c r="N26" s="19"/>
      <c r="O26" s="19"/>
      <c r="P26" s="19"/>
      <c r="Q26" s="19"/>
    </row>
    <row r="27" spans="2:17" ht="13.5" customHeight="1">
      <c r="B27" s="78"/>
      <c r="C27" s="75">
        <f t="shared" si="13"/>
        <v>10</v>
      </c>
      <c r="D27" s="20" t="s">
        <v>1</v>
      </c>
      <c r="E27" s="21">
        <v>4500</v>
      </c>
      <c r="F27" s="21">
        <f>COUNTIF('작업의뢰 내역'!$J$1:$J$1567,C27)</f>
        <v>0</v>
      </c>
      <c r="G27" s="21">
        <f>E27*F27</f>
        <v>0</v>
      </c>
      <c r="H27" s="12"/>
      <c r="I27" s="5"/>
      <c r="J27" s="18"/>
      <c r="L27" s="19"/>
      <c r="M27" s="19"/>
      <c r="N27" s="19"/>
      <c r="O27" s="19"/>
      <c r="P27" s="19"/>
      <c r="Q27" s="19"/>
    </row>
    <row r="28" spans="2:17" ht="13.5" customHeight="1">
      <c r="B28" s="78"/>
      <c r="C28" s="76"/>
      <c r="D28" s="20" t="s">
        <v>0</v>
      </c>
      <c r="E28" s="21">
        <v>4500</v>
      </c>
      <c r="F28" s="21">
        <f>COUNTIF('작업의뢰 내역'!$J$1:$J$571,C28)</f>
        <v>0</v>
      </c>
      <c r="G28" s="21"/>
      <c r="H28" s="12"/>
      <c r="I28" s="5"/>
      <c r="J28" s="18"/>
      <c r="L28" s="19"/>
      <c r="M28" s="19"/>
      <c r="N28" s="19"/>
      <c r="O28" s="19"/>
      <c r="P28" s="19"/>
      <c r="Q28" s="19"/>
    </row>
    <row r="29" spans="2:17" ht="13.5" customHeight="1">
      <c r="B29" s="78"/>
      <c r="C29" s="75">
        <f t="shared" si="13"/>
        <v>11</v>
      </c>
      <c r="D29" s="20" t="s">
        <v>1</v>
      </c>
      <c r="E29" s="21">
        <v>4500</v>
      </c>
      <c r="F29" s="21">
        <f>COUNTIF('작업의뢰 내역'!$J$1:$J$1567,C29)</f>
        <v>0</v>
      </c>
      <c r="G29" s="21">
        <f>E29*F29</f>
        <v>0</v>
      </c>
      <c r="H29" s="12"/>
      <c r="I29" s="5"/>
      <c r="J29" s="18"/>
      <c r="L29" s="19"/>
      <c r="M29" s="19"/>
      <c r="N29" s="19"/>
      <c r="O29" s="19"/>
      <c r="P29" s="19"/>
      <c r="Q29" s="19"/>
    </row>
    <row r="30" spans="2:17" ht="13.5" customHeight="1">
      <c r="B30" s="79"/>
      <c r="C30" s="76"/>
      <c r="D30" s="20" t="s">
        <v>0</v>
      </c>
      <c r="E30" s="21">
        <v>4500</v>
      </c>
      <c r="F30" s="21">
        <f>COUNTIF('작업의뢰 내역'!$J$1:$J$571,C30)</f>
        <v>0</v>
      </c>
      <c r="G30" s="21"/>
      <c r="H30" s="12"/>
      <c r="I30" s="5"/>
      <c r="J30" s="18"/>
      <c r="L30" s="19"/>
      <c r="M30" s="19"/>
      <c r="N30" s="19"/>
      <c r="O30" s="19"/>
      <c r="P30" s="19"/>
      <c r="Q30" s="19"/>
    </row>
    <row r="31" spans="2:17" ht="15" customHeight="1">
      <c r="B31" s="13" t="s">
        <v>16</v>
      </c>
      <c r="C31" s="13"/>
      <c r="D31" s="13"/>
      <c r="E31" s="14"/>
      <c r="F31" s="14">
        <f>SUM(F7:F30)</f>
        <v>567</v>
      </c>
      <c r="G31" s="15">
        <f>SUM(G7:G30)</f>
        <v>2551500</v>
      </c>
      <c r="H31" s="16"/>
      <c r="I31" s="5"/>
      <c r="J31" s="19"/>
      <c r="K31" s="19"/>
      <c r="L31" s="19"/>
      <c r="M31" s="19"/>
      <c r="N31" s="19"/>
      <c r="O31" s="19"/>
      <c r="P31" s="19"/>
      <c r="Q31" s="19"/>
    </row>
    <row r="32" spans="2:17">
      <c r="J32" s="19"/>
      <c r="K32" s="19"/>
      <c r="N32" s="18"/>
      <c r="O32" s="19"/>
    </row>
    <row r="33" spans="9:17">
      <c r="J33" s="19"/>
      <c r="K33" s="19"/>
      <c r="N33" s="18"/>
      <c r="O33" s="19"/>
    </row>
    <row r="34" spans="9:17">
      <c r="J34" s="19"/>
      <c r="K34" s="19"/>
      <c r="N34" s="18"/>
      <c r="O34" s="19"/>
    </row>
    <row r="35" spans="9:17">
      <c r="J35" s="19"/>
      <c r="K35" s="19"/>
      <c r="N35" s="18"/>
      <c r="O35" s="19"/>
    </row>
    <row r="36" spans="9:17">
      <c r="J36" s="19"/>
      <c r="K36" s="19"/>
      <c r="N36" s="18"/>
      <c r="O36" s="19"/>
    </row>
    <row r="37" spans="9:17">
      <c r="I37" s="19"/>
      <c r="J37" s="19"/>
      <c r="K37" s="19"/>
      <c r="L37" s="19"/>
      <c r="N37" s="19"/>
      <c r="O37" s="19"/>
      <c r="P37" s="19"/>
      <c r="Q37" s="19"/>
    </row>
    <row r="38" spans="9:17">
      <c r="I38" s="19"/>
      <c r="J38" s="19"/>
      <c r="K38" s="19"/>
      <c r="L38" s="19"/>
      <c r="N38" s="19"/>
      <c r="O38" s="19"/>
      <c r="P38" s="19"/>
      <c r="Q38" s="19"/>
    </row>
    <row r="39" spans="9:17">
      <c r="I39" s="19"/>
      <c r="J39" s="19"/>
      <c r="K39" s="19"/>
      <c r="L39" s="19"/>
      <c r="N39" s="19"/>
      <c r="O39" s="19"/>
      <c r="P39" s="19"/>
      <c r="Q39" s="19"/>
    </row>
    <row r="40" spans="9:17">
      <c r="I40" s="19"/>
      <c r="J40" s="19"/>
      <c r="K40" s="19"/>
      <c r="L40" s="19"/>
      <c r="N40" s="19"/>
      <c r="O40" s="19"/>
      <c r="P40" s="19"/>
      <c r="Q40" s="19"/>
    </row>
    <row r="41" spans="9:17">
      <c r="I41" s="19"/>
      <c r="J41" s="19"/>
      <c r="K41" s="19"/>
      <c r="L41" s="19"/>
      <c r="N41" s="19"/>
      <c r="O41" s="19"/>
      <c r="P41" s="19"/>
      <c r="Q41" s="19"/>
    </row>
    <row r="42" spans="9:17">
      <c r="I42" s="19"/>
      <c r="J42" s="19"/>
      <c r="K42" s="19"/>
      <c r="L42" s="19"/>
      <c r="N42" s="19"/>
      <c r="O42" s="19"/>
      <c r="P42" s="19"/>
      <c r="Q42" s="19"/>
    </row>
    <row r="43" spans="9:17">
      <c r="I43" s="19"/>
      <c r="J43" s="19"/>
      <c r="K43" s="19"/>
      <c r="L43" s="19"/>
      <c r="N43" s="19"/>
      <c r="O43" s="19"/>
      <c r="P43" s="19"/>
      <c r="Q43" s="19"/>
    </row>
    <row r="44" spans="9:17">
      <c r="I44" s="19"/>
      <c r="J44" s="19"/>
      <c r="K44" s="19"/>
      <c r="L44" s="19"/>
      <c r="N44" s="19"/>
      <c r="O44" s="19"/>
      <c r="P44" s="19"/>
      <c r="Q44" s="19"/>
    </row>
    <row r="45" spans="9:17">
      <c r="I45" s="19"/>
      <c r="J45" s="19"/>
      <c r="K45" s="19"/>
      <c r="L45" s="19"/>
      <c r="N45" s="19"/>
      <c r="O45" s="19"/>
      <c r="P45" s="19"/>
      <c r="Q45" s="19"/>
    </row>
    <row r="46" spans="9:17">
      <c r="I46" s="19"/>
      <c r="J46" s="19"/>
      <c r="K46" s="19"/>
      <c r="L46" s="19"/>
      <c r="N46" s="19"/>
      <c r="O46" s="19"/>
      <c r="P46" s="19"/>
      <c r="Q46" s="19"/>
    </row>
    <row r="47" spans="9:17">
      <c r="I47" s="19"/>
      <c r="J47" s="19"/>
      <c r="K47" s="19"/>
      <c r="L47" s="19"/>
      <c r="N47" s="19"/>
      <c r="O47" s="19"/>
      <c r="P47" s="19"/>
      <c r="Q47" s="19"/>
    </row>
    <row r="48" spans="9:17">
      <c r="I48" s="19"/>
      <c r="J48" s="19"/>
      <c r="K48" s="19"/>
      <c r="L48" s="19"/>
      <c r="N48" s="19"/>
      <c r="O48" s="19"/>
      <c r="P48" s="19"/>
      <c r="Q48" s="19"/>
    </row>
    <row r="49" spans="9:17">
      <c r="I49" s="19"/>
      <c r="J49" s="19"/>
      <c r="K49" s="19"/>
      <c r="L49" s="19"/>
      <c r="N49" s="19"/>
      <c r="O49" s="19"/>
      <c r="P49" s="19"/>
      <c r="Q49" s="19"/>
    </row>
    <row r="50" spans="9:17">
      <c r="I50" s="19"/>
      <c r="J50" s="19"/>
      <c r="K50" s="19"/>
      <c r="L50" s="19"/>
      <c r="N50" s="19"/>
      <c r="O50" s="19"/>
      <c r="P50" s="19"/>
      <c r="Q50" s="19"/>
    </row>
    <row r="51" spans="9:17">
      <c r="I51" s="19"/>
      <c r="J51" s="19"/>
      <c r="K51" s="19"/>
      <c r="L51" s="19"/>
      <c r="N51" s="19"/>
      <c r="O51" s="19"/>
      <c r="P51" s="19"/>
      <c r="Q51" s="19"/>
    </row>
    <row r="52" spans="9:17" ht="16.5" customHeight="1">
      <c r="I52" s="19"/>
      <c r="J52" s="19"/>
      <c r="K52" s="19"/>
      <c r="L52" s="19"/>
      <c r="N52" s="19"/>
      <c r="O52" s="19"/>
      <c r="P52" s="19"/>
      <c r="Q52" s="19"/>
    </row>
    <row r="53" spans="9:17" ht="13.5" customHeight="1">
      <c r="I53" s="19"/>
      <c r="J53" s="19"/>
      <c r="K53" s="19"/>
      <c r="L53" s="19"/>
      <c r="N53" s="19"/>
      <c r="O53" s="19"/>
      <c r="P53" s="19"/>
      <c r="Q53" s="19"/>
    </row>
    <row r="54" spans="9:17" ht="40.5" customHeight="1">
      <c r="I54" s="19"/>
      <c r="J54" s="19"/>
      <c r="K54" s="19"/>
      <c r="L54" s="19"/>
      <c r="N54" s="19"/>
      <c r="O54" s="19"/>
      <c r="P54" s="19"/>
      <c r="Q54" s="19"/>
    </row>
    <row r="71" spans="3:7">
      <c r="C71" s="5"/>
      <c r="D71" s="5"/>
      <c r="E71" s="5"/>
      <c r="F71" s="5"/>
      <c r="G71" s="5"/>
    </row>
    <row r="72" spans="3:7">
      <c r="C72" s="5"/>
      <c r="D72" s="5"/>
      <c r="E72" s="5"/>
      <c r="F72" s="5"/>
      <c r="G72" s="5"/>
    </row>
    <row r="73" spans="3:7">
      <c r="C73" s="5"/>
      <c r="D73" s="5"/>
      <c r="E73" s="5"/>
      <c r="F73" s="5"/>
      <c r="G73" s="5"/>
    </row>
  </sheetData>
  <mergeCells count="13">
    <mergeCell ref="C27:C28"/>
    <mergeCell ref="C29:C30"/>
    <mergeCell ref="B7:B30"/>
    <mergeCell ref="C17:C18"/>
    <mergeCell ref="C19:C20"/>
    <mergeCell ref="C21:C22"/>
    <mergeCell ref="C23:C24"/>
    <mergeCell ref="C25:C26"/>
    <mergeCell ref="C15:C16"/>
    <mergeCell ref="C11:C12"/>
    <mergeCell ref="C13:C14"/>
    <mergeCell ref="C9:C10"/>
    <mergeCell ref="C7:C8"/>
  </mergeCells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72A6-5F3F-4201-AF36-7EADAF19E754}">
  <sheetPr codeName="Sheet2"/>
  <dimension ref="B1:O572"/>
  <sheetViews>
    <sheetView showGridLines="0" zoomScaleNormal="100" workbookViewId="0">
      <pane ySplit="4" topLeftCell="A5" activePane="bottomLeft" state="frozen"/>
      <selection pane="bottomLeft" activeCell="Q16" sqref="Q16"/>
    </sheetView>
  </sheetViews>
  <sheetFormatPr defaultColWidth="8.75" defaultRowHeight="13.5"/>
  <cols>
    <col min="1" max="1" width="1" style="1" customWidth="1"/>
    <col min="2" max="2" width="4.5" style="37" customWidth="1"/>
    <col min="3" max="3" width="16.625" style="37" bestFit="1" customWidth="1"/>
    <col min="4" max="4" width="29.25" style="47" customWidth="1"/>
    <col min="5" max="5" width="8.5" style="47" customWidth="1"/>
    <col min="6" max="6" width="10.25" style="28" customWidth="1"/>
    <col min="7" max="7" width="8" style="45" customWidth="1"/>
    <col min="8" max="8" width="11.25" style="45" bestFit="1" customWidth="1"/>
    <col min="9" max="9" width="16.875" style="45" bestFit="1" customWidth="1"/>
    <col min="10" max="10" width="8.625" style="45" bestFit="1" customWidth="1"/>
    <col min="11" max="11" width="17" style="44" customWidth="1"/>
    <col min="12" max="14" width="8.75" style="1"/>
    <col min="15" max="15" width="9" style="19" customWidth="1"/>
    <col min="16" max="16384" width="8.75" style="1"/>
  </cols>
  <sheetData>
    <row r="1" spans="2:15" ht="29.25" customHeight="1">
      <c r="B1" s="34" t="s">
        <v>18</v>
      </c>
      <c r="C1" s="52"/>
      <c r="D1" s="48"/>
      <c r="E1" s="42"/>
      <c r="F1" s="26"/>
      <c r="G1" s="43"/>
      <c r="H1" s="43"/>
      <c r="L1"/>
      <c r="M1"/>
      <c r="N1"/>
      <c r="O1"/>
    </row>
    <row r="2" spans="2:15" s="25" customFormat="1" ht="3.75" customHeight="1">
      <c r="B2" s="35"/>
      <c r="C2" s="53"/>
      <c r="D2" s="46"/>
      <c r="E2" s="46"/>
      <c r="F2" s="27"/>
      <c r="G2" s="41"/>
      <c r="H2" s="41"/>
      <c r="I2" s="46"/>
      <c r="J2" s="46"/>
      <c r="K2" s="46"/>
      <c r="O2" s="19"/>
    </row>
    <row r="3" spans="2:15" s="25" customFormat="1" ht="9.75" customHeight="1">
      <c r="B3" s="36"/>
      <c r="C3" s="82"/>
      <c r="D3" s="82"/>
      <c r="E3" s="82"/>
      <c r="F3" s="82"/>
      <c r="G3" s="82"/>
      <c r="H3" s="82"/>
      <c r="I3" s="82"/>
      <c r="J3" s="82"/>
      <c r="K3" s="45"/>
      <c r="O3" s="19"/>
    </row>
    <row r="4" spans="2:15">
      <c r="B4" s="51" t="s">
        <v>2</v>
      </c>
      <c r="C4" s="51" t="s">
        <v>3</v>
      </c>
      <c r="D4" s="38" t="s">
        <v>4</v>
      </c>
      <c r="E4" s="51" t="s">
        <v>31</v>
      </c>
      <c r="F4" s="22" t="s">
        <v>32</v>
      </c>
      <c r="G4" s="39" t="s">
        <v>33</v>
      </c>
      <c r="H4" s="39" t="s">
        <v>34</v>
      </c>
      <c r="I4" s="39" t="s">
        <v>35</v>
      </c>
      <c r="J4" s="60" t="s">
        <v>36</v>
      </c>
      <c r="K4" s="39" t="s">
        <v>5</v>
      </c>
      <c r="L4"/>
      <c r="M4"/>
      <c r="N4"/>
      <c r="O4"/>
    </row>
    <row r="5" spans="2:15">
      <c r="B5" s="55">
        <v>1</v>
      </c>
      <c r="C5" t="s">
        <v>61</v>
      </c>
      <c r="D5" s="85" t="s">
        <v>628</v>
      </c>
      <c r="E5" s="59" t="s">
        <v>1</v>
      </c>
      <c r="F5" s="32">
        <v>4500</v>
      </c>
      <c r="G5" s="56">
        <v>1</v>
      </c>
      <c r="H5" s="32">
        <v>4500</v>
      </c>
      <c r="I5" s="58" t="str" cm="1">
        <f t="array" aca="1" ref="I5" ca="1">IF(D5="", "", LEFT(
  MID(CELL("filename",A1), FIND("도안발주내역서_", CELL("filename",A1)) + LEN("도안발주내역서_"),
  FIND("]", CELL("filename",A1)) - FIND("도안발주내역서_", CELL("filename",A1)) - LEN("도안발주내역서_")),
  FIND("_HTML", MID(CELL("filename",A1), FIND("도안발주내역서_", CELL("filename",A1)) + LEN("도안발주내역서_"),
  FIND("]", CELL("filename",A1)) - FIND("도안발주내역서_", CELL("filename",A1)) - LEN("도안발주내역서_"))) - 1
))</f>
        <v>MV1_EV_27MY_KO</v>
      </c>
      <c r="J5" s="65" t="str" cm="1">
        <f t="array" ref="J5">IF(D5="","",IF(
  COUNTIF($D$5:$D$571, "Infotainment system") &gt; 0,
  VLOOKUP(D5, 챕터!$F$4:$G$100, 2, FALSE),
  IF(
    SUM(COUNTIF($D$5:$D$571, {"Hybrid system overview","Electric vehicle guide","Infotainment system"})) &gt; 0,
    VLOOKUP(D5, 챕터!$D$4:$E$100, 2, FALSE),
    VLOOKUP(D5, 챕터!$B$4:$C$100, 2, FALSE)
  )
))</f>
        <v>Q</v>
      </c>
      <c r="K5" s="57"/>
      <c r="L5"/>
      <c r="M5"/>
      <c r="N5" s="19"/>
      <c r="O5" s="1"/>
    </row>
    <row r="6" spans="2:15">
      <c r="B6" s="55">
        <v>2</v>
      </c>
      <c r="C6" t="s">
        <v>62</v>
      </c>
      <c r="D6" s="85" t="s">
        <v>629</v>
      </c>
      <c r="E6" s="59" t="s">
        <v>1</v>
      </c>
      <c r="F6" s="32">
        <v>4500</v>
      </c>
      <c r="G6" s="56">
        <v>1</v>
      </c>
      <c r="H6" s="32">
        <v>4500</v>
      </c>
      <c r="I6" s="58" t="str">
        <f ca="1">IF(D6="","",$I$5)</f>
        <v>MV1_EV_27MY_KO</v>
      </c>
      <c r="J6" s="65" t="str" cm="1">
        <f t="array" ref="J6">IF(D6="","",IF(
  COUNTIF($D$5:$D$571, "Infotainment system") &gt; 0,
  VLOOKUP(D6, 챕터!$F$4:$G$100, 2, FALSE),
  IF(
    SUM(COUNTIF($D$5:$D$571, {"Hybrid system overview","Electric vehicle guide","Infotainment system"})) &gt; 0,
    VLOOKUP(D6, 챕터!$D$4:$E$100, 2, FALSE),
    VLOOKUP(D6, 챕터!$B$4:$C$100, 2, FALSE)
  )
))</f>
        <v>Q</v>
      </c>
      <c r="K6" s="57"/>
      <c r="L6"/>
      <c r="M6"/>
      <c r="N6" s="19"/>
      <c r="O6" s="1"/>
    </row>
    <row r="7" spans="2:15">
      <c r="B7" s="55">
        <v>3</v>
      </c>
      <c r="C7" t="s">
        <v>63</v>
      </c>
      <c r="D7" s="85" t="s">
        <v>629</v>
      </c>
      <c r="E7" s="59" t="s">
        <v>1</v>
      </c>
      <c r="F7" s="32">
        <v>4500</v>
      </c>
      <c r="G7" s="56">
        <v>1</v>
      </c>
      <c r="H7" s="32">
        <v>4500</v>
      </c>
      <c r="I7" s="58" t="str">
        <f t="shared" ref="I7:I70" ca="1" si="0">IF(D7="","",$I$5)</f>
        <v>MV1_EV_27MY_KO</v>
      </c>
      <c r="J7" s="65" t="str" cm="1">
        <f t="array" ref="J7">IF(D7="","",IF(
  COUNTIF($D$5:$D$571, "Infotainment system") &gt; 0,
  VLOOKUP(D7, 챕터!$F$4:$G$100, 2, FALSE),
  IF(
    SUM(COUNTIF($D$5:$D$571, {"Hybrid system overview","Electric vehicle guide","Infotainment system"})) &gt; 0,
    VLOOKUP(D7, 챕터!$D$4:$E$100, 2, FALSE),
    VLOOKUP(D7, 챕터!$B$4:$C$100, 2, FALSE)
  )
))</f>
        <v>Q</v>
      </c>
      <c r="K7" s="57"/>
      <c r="L7"/>
      <c r="M7"/>
      <c r="N7" s="19"/>
      <c r="O7" s="1"/>
    </row>
    <row r="8" spans="2:15">
      <c r="B8" s="55">
        <v>4</v>
      </c>
      <c r="C8" t="s">
        <v>64</v>
      </c>
      <c r="D8" s="85" t="s">
        <v>629</v>
      </c>
      <c r="E8" s="59" t="s">
        <v>1</v>
      </c>
      <c r="F8" s="32">
        <v>4500</v>
      </c>
      <c r="G8" s="56">
        <v>1</v>
      </c>
      <c r="H8" s="32">
        <v>4500</v>
      </c>
      <c r="I8" s="58" t="str">
        <f t="shared" ca="1" si="0"/>
        <v>MV1_EV_27MY_KO</v>
      </c>
      <c r="J8" s="65" t="str" cm="1">
        <f t="array" ref="J8">IF(D8="","",IF(
  COUNTIF($D$5:$D$571, "Infotainment system") &gt; 0,
  VLOOKUP(D8, 챕터!$F$4:$G$100, 2, FALSE),
  IF(
    SUM(COUNTIF($D$5:$D$571, {"Hybrid system overview","Electric vehicle guide","Infotainment system"})) &gt; 0,
    VLOOKUP(D8, 챕터!$D$4:$E$100, 2, FALSE),
    VLOOKUP(D8, 챕터!$B$4:$C$100, 2, FALSE)
  )
))</f>
        <v>Q</v>
      </c>
      <c r="K8" s="57"/>
      <c r="L8"/>
      <c r="M8"/>
      <c r="N8" s="19"/>
      <c r="O8" s="1"/>
    </row>
    <row r="9" spans="2:15">
      <c r="B9" s="55">
        <v>5</v>
      </c>
      <c r="C9" t="s">
        <v>65</v>
      </c>
      <c r="D9" s="85" t="s">
        <v>629</v>
      </c>
      <c r="E9" s="59" t="s">
        <v>1</v>
      </c>
      <c r="F9" s="32">
        <v>4500</v>
      </c>
      <c r="G9" s="56">
        <v>1</v>
      </c>
      <c r="H9" s="32">
        <v>4500</v>
      </c>
      <c r="I9" s="58" t="str">
        <f t="shared" ca="1" si="0"/>
        <v>MV1_EV_27MY_KO</v>
      </c>
      <c r="J9" s="65" t="str" cm="1">
        <f t="array" ref="J9">IF(D9="","",IF(
  COUNTIF($D$5:$D$571, "Infotainment system") &gt; 0,
  VLOOKUP(D9, 챕터!$F$4:$G$100, 2, FALSE),
  IF(
    SUM(COUNTIF($D$5:$D$571, {"Hybrid system overview","Electric vehicle guide","Infotainment system"})) &gt; 0,
    VLOOKUP(D9, 챕터!$D$4:$E$100, 2, FALSE),
    VLOOKUP(D9, 챕터!$B$4:$C$100, 2, FALSE)
  )
))</f>
        <v>Q</v>
      </c>
      <c r="K9" s="57"/>
      <c r="L9"/>
      <c r="M9"/>
      <c r="N9" s="19"/>
      <c r="O9" s="1"/>
    </row>
    <row r="10" spans="2:15">
      <c r="B10" s="55">
        <v>6</v>
      </c>
      <c r="C10" t="s">
        <v>66</v>
      </c>
      <c r="D10" s="85" t="s">
        <v>629</v>
      </c>
      <c r="E10" s="59" t="s">
        <v>1</v>
      </c>
      <c r="F10" s="32">
        <v>4500</v>
      </c>
      <c r="G10" s="56">
        <v>1</v>
      </c>
      <c r="H10" s="32">
        <v>4500</v>
      </c>
      <c r="I10" s="58" t="str">
        <f ca="1">IF(D10="","",$I$5)</f>
        <v>MV1_EV_27MY_KO</v>
      </c>
      <c r="J10" s="65" t="str" cm="1">
        <f t="array" ref="J10">IF(D10="","",IF(
  COUNTIF($D$5:$D$571, "Infotainment system") &gt; 0,
  VLOOKUP(D10, 챕터!$F$4:$G$100, 2, FALSE),
  IF(
    SUM(COUNTIF($D$5:$D$571, {"Hybrid system overview","Electric vehicle guide","Infotainment system"})) &gt; 0,
    VLOOKUP(D10, 챕터!$D$4:$E$100, 2, FALSE),
    VLOOKUP(D10, 챕터!$B$4:$C$100, 2, FALSE)
  )
))</f>
        <v>Q</v>
      </c>
      <c r="K10" s="57"/>
      <c r="L10"/>
      <c r="M10"/>
      <c r="N10" s="19"/>
      <c r="O10" s="1"/>
    </row>
    <row r="11" spans="2:15">
      <c r="B11" s="55">
        <v>7</v>
      </c>
      <c r="C11" t="s">
        <v>67</v>
      </c>
      <c r="D11" s="85" t="s">
        <v>629</v>
      </c>
      <c r="E11" s="59" t="s">
        <v>1</v>
      </c>
      <c r="F11" s="32">
        <v>4500</v>
      </c>
      <c r="G11" s="56">
        <v>1</v>
      </c>
      <c r="H11" s="32">
        <v>4500</v>
      </c>
      <c r="I11" s="58" t="str">
        <f ca="1">IF(D11="","",$I$5)</f>
        <v>MV1_EV_27MY_KO</v>
      </c>
      <c r="J11" s="65" t="str" cm="1">
        <f t="array" ref="J11">IF(D11="","",IF(
  COUNTIF($D$5:$D$571, "Infotainment system") &gt; 0,
  VLOOKUP(D11, 챕터!$F$4:$G$100, 2, FALSE),
  IF(
    SUM(COUNTIF($D$5:$D$571, {"Hybrid system overview","Electric vehicle guide","Infotainment system"})) &gt; 0,
    VLOOKUP(D11, 챕터!$D$4:$E$100, 2, FALSE),
    VLOOKUP(D11, 챕터!$B$4:$C$100, 2, FALSE)
  )
))</f>
        <v>Q</v>
      </c>
      <c r="K11" s="57"/>
      <c r="L11"/>
      <c r="M11"/>
      <c r="N11" s="19"/>
      <c r="O11" s="1"/>
    </row>
    <row r="12" spans="2:15">
      <c r="B12" s="55">
        <v>8</v>
      </c>
      <c r="C12" t="s">
        <v>68</v>
      </c>
      <c r="D12" s="85" t="s">
        <v>629</v>
      </c>
      <c r="E12" s="59" t="s">
        <v>1</v>
      </c>
      <c r="F12" s="32">
        <v>4500</v>
      </c>
      <c r="G12" s="56">
        <v>1</v>
      </c>
      <c r="H12" s="32">
        <v>4500</v>
      </c>
      <c r="I12" s="58" t="str">
        <f t="shared" ca="1" si="0"/>
        <v>MV1_EV_27MY_KO</v>
      </c>
      <c r="J12" s="65" t="str" cm="1">
        <f t="array" ref="J12">IF(D12="","",IF(
  COUNTIF($D$5:$D$571, "Infotainment system") &gt; 0,
  VLOOKUP(D12, 챕터!$F$4:$G$100, 2, FALSE),
  IF(
    SUM(COUNTIF($D$5:$D$571, {"Hybrid system overview","Electric vehicle guide","Infotainment system"})) &gt; 0,
    VLOOKUP(D12, 챕터!$D$4:$E$100, 2, FALSE),
    VLOOKUP(D12, 챕터!$B$4:$C$100, 2, FALSE)
  )
))</f>
        <v>Q</v>
      </c>
      <c r="K12" s="57"/>
      <c r="L12"/>
      <c r="M12"/>
      <c r="N12" s="19"/>
      <c r="O12" s="1"/>
    </row>
    <row r="13" spans="2:15">
      <c r="B13" s="55">
        <v>9</v>
      </c>
      <c r="C13" t="s">
        <v>69</v>
      </c>
      <c r="D13" s="85" t="s">
        <v>629</v>
      </c>
      <c r="E13" s="59" t="s">
        <v>1</v>
      </c>
      <c r="F13" s="32">
        <v>4500</v>
      </c>
      <c r="G13" s="56">
        <v>1</v>
      </c>
      <c r="H13" s="32">
        <v>4500</v>
      </c>
      <c r="I13" s="58" t="str">
        <f t="shared" ca="1" si="0"/>
        <v>MV1_EV_27MY_KO</v>
      </c>
      <c r="J13" s="65" t="str" cm="1">
        <f t="array" ref="J13">IF(D13="","",IF(
  COUNTIF($D$5:$D$571, "Infotainment system") &gt; 0,
  VLOOKUP(D13, 챕터!$F$4:$G$100, 2, FALSE),
  IF(
    SUM(COUNTIF($D$5:$D$571, {"Hybrid system overview","Electric vehicle guide","Infotainment system"})) &gt; 0,
    VLOOKUP(D13, 챕터!$D$4:$E$100, 2, FALSE),
    VLOOKUP(D13, 챕터!$B$4:$C$100, 2, FALSE)
  )
))</f>
        <v>Q</v>
      </c>
      <c r="K13" s="57"/>
      <c r="L13"/>
      <c r="M13"/>
      <c r="N13" s="19"/>
      <c r="O13" s="1"/>
    </row>
    <row r="14" spans="2:15">
      <c r="B14" s="55">
        <v>10</v>
      </c>
      <c r="C14" t="s">
        <v>70</v>
      </c>
      <c r="D14" s="85" t="s">
        <v>629</v>
      </c>
      <c r="E14" s="59" t="s">
        <v>1</v>
      </c>
      <c r="F14" s="32">
        <v>4500</v>
      </c>
      <c r="G14" s="56">
        <v>1</v>
      </c>
      <c r="H14" s="32">
        <v>4500</v>
      </c>
      <c r="I14" s="58" t="str">
        <f t="shared" ca="1" si="0"/>
        <v>MV1_EV_27MY_KO</v>
      </c>
      <c r="J14" s="65" t="str" cm="1">
        <f t="array" ref="J14">IF(D14="","",IF(
  COUNTIF($D$5:$D$571, "Infotainment system") &gt; 0,
  VLOOKUP(D14, 챕터!$F$4:$G$100, 2, FALSE),
  IF(
    SUM(COUNTIF($D$5:$D$571, {"Hybrid system overview","Electric vehicle guide","Infotainment system"})) &gt; 0,
    VLOOKUP(D14, 챕터!$D$4:$E$100, 2, FALSE),
    VLOOKUP(D14, 챕터!$B$4:$C$100, 2, FALSE)
  )
))</f>
        <v>Q</v>
      </c>
      <c r="K14" s="57"/>
      <c r="L14"/>
      <c r="M14"/>
      <c r="N14" s="19"/>
      <c r="O14" s="1"/>
    </row>
    <row r="15" spans="2:15">
      <c r="B15" s="55">
        <v>11</v>
      </c>
      <c r="C15" t="s">
        <v>71</v>
      </c>
      <c r="D15" s="85" t="s">
        <v>629</v>
      </c>
      <c r="E15" s="59" t="s">
        <v>1</v>
      </c>
      <c r="F15" s="32">
        <v>4500</v>
      </c>
      <c r="G15" s="56">
        <v>1</v>
      </c>
      <c r="H15" s="32">
        <v>4500</v>
      </c>
      <c r="I15" s="58" t="str">
        <f t="shared" ca="1" si="0"/>
        <v>MV1_EV_27MY_KO</v>
      </c>
      <c r="J15" s="65" t="str" cm="1">
        <f t="array" ref="J15">IF(D15="","",IF(
  COUNTIF($D$5:$D$571, "Infotainment system") &gt; 0,
  VLOOKUP(D15, 챕터!$F$4:$G$100, 2, FALSE),
  IF(
    SUM(COUNTIF($D$5:$D$571, {"Hybrid system overview","Electric vehicle guide","Infotainment system"})) &gt; 0,
    VLOOKUP(D15, 챕터!$D$4:$E$100, 2, FALSE),
    VLOOKUP(D15, 챕터!$B$4:$C$100, 2, FALSE)
  )
))</f>
        <v>Q</v>
      </c>
      <c r="K15" s="57"/>
      <c r="L15"/>
      <c r="M15"/>
      <c r="N15" s="19"/>
      <c r="O15" s="1"/>
    </row>
    <row r="16" spans="2:15">
      <c r="B16" s="55">
        <v>12</v>
      </c>
      <c r="C16" t="s">
        <v>72</v>
      </c>
      <c r="D16" s="85" t="s">
        <v>629</v>
      </c>
      <c r="E16" s="59" t="s">
        <v>1</v>
      </c>
      <c r="F16" s="32">
        <v>4500</v>
      </c>
      <c r="G16" s="56">
        <v>1</v>
      </c>
      <c r="H16" s="32">
        <v>4500</v>
      </c>
      <c r="I16" s="58" t="str">
        <f t="shared" ca="1" si="0"/>
        <v>MV1_EV_27MY_KO</v>
      </c>
      <c r="J16" s="65" t="str" cm="1">
        <f t="array" ref="J16">IF(D16="","",IF(
  COUNTIF($D$5:$D$571, "Infotainment system") &gt; 0,
  VLOOKUP(D16, 챕터!$F$4:$G$100, 2, FALSE),
  IF(
    SUM(COUNTIF($D$5:$D$571, {"Hybrid system overview","Electric vehicle guide","Infotainment system"})) &gt; 0,
    VLOOKUP(D16, 챕터!$D$4:$E$100, 2, FALSE),
    VLOOKUP(D16, 챕터!$B$4:$C$100, 2, FALSE)
  )
))</f>
        <v>Q</v>
      </c>
      <c r="K16" s="57"/>
      <c r="L16"/>
      <c r="M16"/>
      <c r="N16" s="19"/>
      <c r="O16" s="1"/>
    </row>
    <row r="17" spans="2:15">
      <c r="B17" s="55">
        <v>13</v>
      </c>
      <c r="C17" t="s">
        <v>73</v>
      </c>
      <c r="D17" s="85" t="s">
        <v>629</v>
      </c>
      <c r="E17" s="59" t="s">
        <v>1</v>
      </c>
      <c r="F17" s="32">
        <v>4500</v>
      </c>
      <c r="G17" s="56">
        <v>1</v>
      </c>
      <c r="H17" s="32">
        <v>4500</v>
      </c>
      <c r="I17" s="58" t="str">
        <f t="shared" ca="1" si="0"/>
        <v>MV1_EV_27MY_KO</v>
      </c>
      <c r="J17" s="65" t="str" cm="1">
        <f t="array" ref="J17">IF(D17="","",IF(
  COUNTIF($D$5:$D$571, "Infotainment system") &gt; 0,
  VLOOKUP(D17, 챕터!$F$4:$G$100, 2, FALSE),
  IF(
    SUM(COUNTIF($D$5:$D$571, {"Hybrid system overview","Electric vehicle guide","Infotainment system"})) &gt; 0,
    VLOOKUP(D17, 챕터!$D$4:$E$100, 2, FALSE),
    VLOOKUP(D17, 챕터!$B$4:$C$100, 2, FALSE)
  )
))</f>
        <v>Q</v>
      </c>
      <c r="K17" s="57"/>
      <c r="L17"/>
      <c r="M17"/>
      <c r="N17" s="19"/>
      <c r="O17" s="1"/>
    </row>
    <row r="18" spans="2:15">
      <c r="B18" s="55">
        <v>14</v>
      </c>
      <c r="C18" t="s">
        <v>74</v>
      </c>
      <c r="D18" s="85" t="s">
        <v>629</v>
      </c>
      <c r="E18" s="59" t="s">
        <v>1</v>
      </c>
      <c r="F18" s="32">
        <v>4500</v>
      </c>
      <c r="G18" s="56">
        <v>1</v>
      </c>
      <c r="H18" s="32">
        <v>4500</v>
      </c>
      <c r="I18" s="58" t="str">
        <f t="shared" ca="1" si="0"/>
        <v>MV1_EV_27MY_KO</v>
      </c>
      <c r="J18" s="65" t="str" cm="1">
        <f t="array" ref="J18">IF(D18="","",IF(
  COUNTIF($D$5:$D$571, "Infotainment system") &gt; 0,
  VLOOKUP(D18, 챕터!$F$4:$G$100, 2, FALSE),
  IF(
    SUM(COUNTIF($D$5:$D$571, {"Hybrid system overview","Electric vehicle guide","Infotainment system"})) &gt; 0,
    VLOOKUP(D18, 챕터!$D$4:$E$100, 2, FALSE),
    VLOOKUP(D18, 챕터!$B$4:$C$100, 2, FALSE)
  )
))</f>
        <v>Q</v>
      </c>
      <c r="K18" s="57"/>
      <c r="L18"/>
      <c r="M18"/>
      <c r="N18" s="19"/>
      <c r="O18" s="1"/>
    </row>
    <row r="19" spans="2:15">
      <c r="B19" s="55">
        <v>15</v>
      </c>
      <c r="C19" t="s">
        <v>75</v>
      </c>
      <c r="D19" s="85" t="s">
        <v>629</v>
      </c>
      <c r="E19" s="59" t="s">
        <v>1</v>
      </c>
      <c r="F19" s="32">
        <v>4500</v>
      </c>
      <c r="G19" s="56">
        <v>1</v>
      </c>
      <c r="H19" s="32">
        <v>4500</v>
      </c>
      <c r="I19" s="58" t="str">
        <f t="shared" ca="1" si="0"/>
        <v>MV1_EV_27MY_KO</v>
      </c>
      <c r="J19" s="65" t="str" cm="1">
        <f t="array" ref="J19">IF(D19="","",IF(
  COUNTIF($D$5:$D$571, "Infotainment system") &gt; 0,
  VLOOKUP(D19, 챕터!$F$4:$G$100, 2, FALSE),
  IF(
    SUM(COUNTIF($D$5:$D$571, {"Hybrid system overview","Electric vehicle guide","Infotainment system"})) &gt; 0,
    VLOOKUP(D19, 챕터!$D$4:$E$100, 2, FALSE),
    VLOOKUP(D19, 챕터!$B$4:$C$100, 2, FALSE)
  )
))</f>
        <v>Q</v>
      </c>
      <c r="K19" s="57"/>
      <c r="L19"/>
      <c r="M19"/>
      <c r="N19" s="19"/>
      <c r="O19" s="1"/>
    </row>
    <row r="20" spans="2:15">
      <c r="B20" s="55">
        <v>16</v>
      </c>
      <c r="C20" t="s">
        <v>76</v>
      </c>
      <c r="D20" s="85" t="s">
        <v>629</v>
      </c>
      <c r="E20" s="59" t="s">
        <v>1</v>
      </c>
      <c r="F20" s="32">
        <v>4500</v>
      </c>
      <c r="G20" s="56">
        <v>1</v>
      </c>
      <c r="H20" s="32">
        <v>4500</v>
      </c>
      <c r="I20" s="58" t="str">
        <f t="shared" ca="1" si="0"/>
        <v>MV1_EV_27MY_KO</v>
      </c>
      <c r="J20" s="65" t="str" cm="1">
        <f t="array" ref="J20">IF(D20="","",IF(
  COUNTIF($D$5:$D$571, "Infotainment system") &gt; 0,
  VLOOKUP(D20, 챕터!$F$4:$G$100, 2, FALSE),
  IF(
    SUM(COUNTIF($D$5:$D$571, {"Hybrid system overview","Electric vehicle guide","Infotainment system"})) &gt; 0,
    VLOOKUP(D20, 챕터!$D$4:$E$100, 2, FALSE),
    VLOOKUP(D20, 챕터!$B$4:$C$100, 2, FALSE)
  )
))</f>
        <v>Q</v>
      </c>
      <c r="K20" s="57"/>
      <c r="L20"/>
      <c r="M20"/>
      <c r="O20" s="1"/>
    </row>
    <row r="21" spans="2:15">
      <c r="B21" s="55">
        <v>17</v>
      </c>
      <c r="C21" t="s">
        <v>77</v>
      </c>
      <c r="D21" s="85" t="s">
        <v>629</v>
      </c>
      <c r="E21" s="59" t="s">
        <v>1</v>
      </c>
      <c r="F21" s="32">
        <v>4500</v>
      </c>
      <c r="G21" s="56">
        <v>1</v>
      </c>
      <c r="H21" s="32">
        <v>4500</v>
      </c>
      <c r="I21" s="58" t="str">
        <f t="shared" ca="1" si="0"/>
        <v>MV1_EV_27MY_KO</v>
      </c>
      <c r="J21" s="65" t="str" cm="1">
        <f t="array" ref="J21">IF(D21="","",IF(
  COUNTIF($D$5:$D$571, "Infotainment system") &gt; 0,
  VLOOKUP(D21, 챕터!$F$4:$G$100, 2, FALSE),
  IF(
    SUM(COUNTIF($D$5:$D$571, {"Hybrid system overview","Electric vehicle guide","Infotainment system"})) &gt; 0,
    VLOOKUP(D21, 챕터!$D$4:$E$100, 2, FALSE),
    VLOOKUP(D21, 챕터!$B$4:$C$100, 2, FALSE)
  )
))</f>
        <v>Q</v>
      </c>
      <c r="K21" s="57"/>
      <c r="L21"/>
      <c r="M21"/>
      <c r="N21" s="19"/>
      <c r="O21" s="1"/>
    </row>
    <row r="22" spans="2:15">
      <c r="B22" s="55">
        <v>18</v>
      </c>
      <c r="C22" t="s">
        <v>78</v>
      </c>
      <c r="D22" s="85" t="s">
        <v>629</v>
      </c>
      <c r="E22" s="59" t="s">
        <v>1</v>
      </c>
      <c r="F22" s="32">
        <v>4500</v>
      </c>
      <c r="G22" s="56">
        <v>1</v>
      </c>
      <c r="H22" s="32">
        <v>4500</v>
      </c>
      <c r="I22" s="58" t="str">
        <f t="shared" ca="1" si="0"/>
        <v>MV1_EV_27MY_KO</v>
      </c>
      <c r="J22" s="65" t="str" cm="1">
        <f t="array" ref="J22">IF(D22="","",IF(
  COUNTIF($D$5:$D$571, "Infotainment system") &gt; 0,
  VLOOKUP(D22, 챕터!$F$4:$G$100, 2, FALSE),
  IF(
    SUM(COUNTIF($D$5:$D$571, {"Hybrid system overview","Electric vehicle guide","Infotainment system"})) &gt; 0,
    VLOOKUP(D22, 챕터!$D$4:$E$100, 2, FALSE),
    VLOOKUP(D22, 챕터!$B$4:$C$100, 2, FALSE)
  )
))</f>
        <v>Q</v>
      </c>
      <c r="K22" s="57"/>
      <c r="L22"/>
      <c r="M22"/>
      <c r="N22" s="19"/>
      <c r="O22" s="1"/>
    </row>
    <row r="23" spans="2:15">
      <c r="B23" s="55">
        <v>19</v>
      </c>
      <c r="C23" t="s">
        <v>79</v>
      </c>
      <c r="D23" s="85" t="s">
        <v>629</v>
      </c>
      <c r="E23" s="59" t="s">
        <v>1</v>
      </c>
      <c r="F23" s="32">
        <v>4500</v>
      </c>
      <c r="G23" s="56">
        <v>1</v>
      </c>
      <c r="H23" s="32">
        <v>4500</v>
      </c>
      <c r="I23" s="58" t="str">
        <f t="shared" ca="1" si="0"/>
        <v>MV1_EV_27MY_KO</v>
      </c>
      <c r="J23" s="65" t="str" cm="1">
        <f t="array" ref="J23">IF(D23="","",IF(
  COUNTIF($D$5:$D$571, "Infotainment system") &gt; 0,
  VLOOKUP(D23, 챕터!$F$4:$G$100, 2, FALSE),
  IF(
    SUM(COUNTIF($D$5:$D$571, {"Hybrid system overview","Electric vehicle guide","Infotainment system"})) &gt; 0,
    VLOOKUP(D23, 챕터!$D$4:$E$100, 2, FALSE),
    VLOOKUP(D23, 챕터!$B$4:$C$100, 2, FALSE)
  )
))</f>
        <v>Q</v>
      </c>
      <c r="K23" s="57"/>
      <c r="L23"/>
      <c r="M23"/>
      <c r="N23" s="19"/>
      <c r="O23" s="1"/>
    </row>
    <row r="24" spans="2:15">
      <c r="B24" s="55">
        <v>20</v>
      </c>
      <c r="C24" t="s">
        <v>80</v>
      </c>
      <c r="D24" s="85" t="s">
        <v>629</v>
      </c>
      <c r="E24" s="59" t="s">
        <v>1</v>
      </c>
      <c r="F24" s="32">
        <v>4500</v>
      </c>
      <c r="G24" s="56">
        <v>1</v>
      </c>
      <c r="H24" s="32">
        <v>4500</v>
      </c>
      <c r="I24" s="58" t="str">
        <f t="shared" ca="1" si="0"/>
        <v>MV1_EV_27MY_KO</v>
      </c>
      <c r="J24" s="65" t="str" cm="1">
        <f t="array" ref="J24">IF(D24="","",IF(
  COUNTIF($D$5:$D$571, "Infotainment system") &gt; 0,
  VLOOKUP(D24, 챕터!$F$4:$G$100, 2, FALSE),
  IF(
    SUM(COUNTIF($D$5:$D$571, {"Hybrid system overview","Electric vehicle guide","Infotainment system"})) &gt; 0,
    VLOOKUP(D24, 챕터!$D$4:$E$100, 2, FALSE),
    VLOOKUP(D24, 챕터!$B$4:$C$100, 2, FALSE)
  )
))</f>
        <v>Q</v>
      </c>
      <c r="K24" s="57"/>
      <c r="L24"/>
      <c r="M24"/>
      <c r="N24" s="19"/>
      <c r="O24" s="1"/>
    </row>
    <row r="25" spans="2:15">
      <c r="B25" s="55">
        <v>21</v>
      </c>
      <c r="C25" t="s">
        <v>81</v>
      </c>
      <c r="D25" s="85" t="s">
        <v>629</v>
      </c>
      <c r="E25" s="59" t="s">
        <v>1</v>
      </c>
      <c r="F25" s="32">
        <v>4500</v>
      </c>
      <c r="G25" s="56">
        <v>1</v>
      </c>
      <c r="H25" s="32">
        <v>4500</v>
      </c>
      <c r="I25" s="58" t="str">
        <f t="shared" ca="1" si="0"/>
        <v>MV1_EV_27MY_KO</v>
      </c>
      <c r="J25" s="65" t="str" cm="1">
        <f t="array" ref="J25">IF(D25="","",IF(
  COUNTIF($D$5:$D$571, "Infotainment system") &gt; 0,
  VLOOKUP(D25, 챕터!$F$4:$G$100, 2, FALSE),
  IF(
    SUM(COUNTIF($D$5:$D$571, {"Hybrid system overview","Electric vehicle guide","Infotainment system"})) &gt; 0,
    VLOOKUP(D25, 챕터!$D$4:$E$100, 2, FALSE),
    VLOOKUP(D25, 챕터!$B$4:$C$100, 2, FALSE)
  )
))</f>
        <v>Q</v>
      </c>
      <c r="K25" s="57"/>
      <c r="L25"/>
      <c r="M25"/>
      <c r="N25" s="19"/>
      <c r="O25" s="1"/>
    </row>
    <row r="26" spans="2:15">
      <c r="B26" s="55">
        <v>22</v>
      </c>
      <c r="C26" t="s">
        <v>82</v>
      </c>
      <c r="D26" s="85" t="s">
        <v>629</v>
      </c>
      <c r="E26" s="59" t="s">
        <v>1</v>
      </c>
      <c r="F26" s="32">
        <v>4500</v>
      </c>
      <c r="G26" s="56">
        <v>1</v>
      </c>
      <c r="H26" s="32">
        <v>4500</v>
      </c>
      <c r="I26" s="58" t="str">
        <f t="shared" ca="1" si="0"/>
        <v>MV1_EV_27MY_KO</v>
      </c>
      <c r="J26" s="65" t="str" cm="1">
        <f t="array" ref="J26">IF(D26="","",IF(
  COUNTIF($D$5:$D$571, "Infotainment system") &gt; 0,
  VLOOKUP(D26, 챕터!$F$4:$G$100, 2, FALSE),
  IF(
    SUM(COUNTIF($D$5:$D$571, {"Hybrid system overview","Electric vehicle guide","Infotainment system"})) &gt; 0,
    VLOOKUP(D26, 챕터!$D$4:$E$100, 2, FALSE),
    VLOOKUP(D26, 챕터!$B$4:$C$100, 2, FALSE)
  )
))</f>
        <v>Q</v>
      </c>
      <c r="K26" s="57"/>
      <c r="L26"/>
      <c r="M26"/>
      <c r="N26" s="19"/>
      <c r="O26" s="1"/>
    </row>
    <row r="27" spans="2:15">
      <c r="B27" s="55">
        <v>23</v>
      </c>
      <c r="C27" t="s">
        <v>83</v>
      </c>
      <c r="D27" s="85" t="s">
        <v>629</v>
      </c>
      <c r="E27" s="59" t="s">
        <v>1</v>
      </c>
      <c r="F27" s="32">
        <v>4500</v>
      </c>
      <c r="G27" s="56">
        <v>1</v>
      </c>
      <c r="H27" s="32">
        <v>4500</v>
      </c>
      <c r="I27" s="58" t="str">
        <f t="shared" ca="1" si="0"/>
        <v>MV1_EV_27MY_KO</v>
      </c>
      <c r="J27" s="65" t="str" cm="1">
        <f t="array" ref="J27">IF(D27="","",IF(
  COUNTIF($D$5:$D$571, "Infotainment system") &gt; 0,
  VLOOKUP(D27, 챕터!$F$4:$G$100, 2, FALSE),
  IF(
    SUM(COUNTIF($D$5:$D$571, {"Hybrid system overview","Electric vehicle guide","Infotainment system"})) &gt; 0,
    VLOOKUP(D27, 챕터!$D$4:$E$100, 2, FALSE),
    VLOOKUP(D27, 챕터!$B$4:$C$100, 2, FALSE)
  )
))</f>
        <v>Q</v>
      </c>
      <c r="K27" s="57"/>
      <c r="L27"/>
      <c r="M27"/>
      <c r="N27" s="19"/>
      <c r="O27" s="1"/>
    </row>
    <row r="28" spans="2:15">
      <c r="B28" s="55">
        <v>24</v>
      </c>
      <c r="C28" t="s">
        <v>84</v>
      </c>
      <c r="D28" s="85" t="s">
        <v>629</v>
      </c>
      <c r="E28" s="59" t="s">
        <v>1</v>
      </c>
      <c r="F28" s="32">
        <v>4500</v>
      </c>
      <c r="G28" s="56">
        <v>1</v>
      </c>
      <c r="H28" s="32">
        <v>4500</v>
      </c>
      <c r="I28" s="58" t="str">
        <f t="shared" ca="1" si="0"/>
        <v>MV1_EV_27MY_KO</v>
      </c>
      <c r="J28" s="65" t="str" cm="1">
        <f t="array" ref="J28">IF(D28="","",IF(
  COUNTIF($D$5:$D$571, "Infotainment system") &gt; 0,
  VLOOKUP(D28, 챕터!$F$4:$G$100, 2, FALSE),
  IF(
    SUM(COUNTIF($D$5:$D$571, {"Hybrid system overview","Electric vehicle guide","Infotainment system"})) &gt; 0,
    VLOOKUP(D28, 챕터!$D$4:$E$100, 2, FALSE),
    VLOOKUP(D28, 챕터!$B$4:$C$100, 2, FALSE)
  )
))</f>
        <v>Q</v>
      </c>
      <c r="K28" s="57"/>
      <c r="L28"/>
      <c r="M28"/>
      <c r="N28" s="19"/>
      <c r="O28" s="1"/>
    </row>
    <row r="29" spans="2:15">
      <c r="B29" s="55">
        <v>25</v>
      </c>
      <c r="C29" t="s">
        <v>85</v>
      </c>
      <c r="D29" s="85" t="s">
        <v>629</v>
      </c>
      <c r="E29" s="59" t="s">
        <v>1</v>
      </c>
      <c r="F29" s="32">
        <v>4500</v>
      </c>
      <c r="G29" s="56">
        <v>1</v>
      </c>
      <c r="H29" s="32">
        <v>4500</v>
      </c>
      <c r="I29" s="58" t="str">
        <f t="shared" ca="1" si="0"/>
        <v>MV1_EV_27MY_KO</v>
      </c>
      <c r="J29" s="65" t="str" cm="1">
        <f t="array" ref="J29">IF(D29="","",IF(
  COUNTIF($D$5:$D$571, "Infotainment system") &gt; 0,
  VLOOKUP(D29, 챕터!$F$4:$G$100, 2, FALSE),
  IF(
    SUM(COUNTIF($D$5:$D$571, {"Hybrid system overview","Electric vehicle guide","Infotainment system"})) &gt; 0,
    VLOOKUP(D29, 챕터!$D$4:$E$100, 2, FALSE),
    VLOOKUP(D29, 챕터!$B$4:$C$100, 2, FALSE)
  )
))</f>
        <v>Q</v>
      </c>
      <c r="K29" s="57"/>
      <c r="L29"/>
      <c r="M29"/>
      <c r="N29" s="19"/>
      <c r="O29" s="1"/>
    </row>
    <row r="30" spans="2:15">
      <c r="B30" s="55">
        <v>26</v>
      </c>
      <c r="C30" t="s">
        <v>86</v>
      </c>
      <c r="D30" s="85" t="s">
        <v>629</v>
      </c>
      <c r="E30" s="59" t="s">
        <v>1</v>
      </c>
      <c r="F30" s="32">
        <v>4500</v>
      </c>
      <c r="G30" s="56">
        <v>1</v>
      </c>
      <c r="H30" s="32">
        <v>4500</v>
      </c>
      <c r="I30" s="58" t="str">
        <f t="shared" ca="1" si="0"/>
        <v>MV1_EV_27MY_KO</v>
      </c>
      <c r="J30" s="65" t="str" cm="1">
        <f t="array" ref="J30">IF(D30="","",IF(
  COUNTIF($D$5:$D$571, "Infotainment system") &gt; 0,
  VLOOKUP(D30, 챕터!$F$4:$G$100, 2, FALSE),
  IF(
    SUM(COUNTIF($D$5:$D$571, {"Hybrid system overview","Electric vehicle guide","Infotainment system"})) &gt; 0,
    VLOOKUP(D30, 챕터!$D$4:$E$100, 2, FALSE),
    VLOOKUP(D30, 챕터!$B$4:$C$100, 2, FALSE)
  )
))</f>
        <v>Q</v>
      </c>
      <c r="K30" s="57"/>
      <c r="L30"/>
      <c r="M30"/>
      <c r="N30" s="19"/>
      <c r="O30" s="1"/>
    </row>
    <row r="31" spans="2:15">
      <c r="B31" s="55">
        <v>27</v>
      </c>
      <c r="C31" t="s">
        <v>87</v>
      </c>
      <c r="D31" s="85" t="s">
        <v>629</v>
      </c>
      <c r="E31" s="59" t="s">
        <v>1</v>
      </c>
      <c r="F31" s="32">
        <v>4500</v>
      </c>
      <c r="G31" s="56">
        <v>1</v>
      </c>
      <c r="H31" s="32">
        <v>4500</v>
      </c>
      <c r="I31" s="58" t="str">
        <f t="shared" ca="1" si="0"/>
        <v>MV1_EV_27MY_KO</v>
      </c>
      <c r="J31" s="65" t="str" cm="1">
        <f t="array" ref="J31">IF(D31="","",IF(
  COUNTIF($D$5:$D$571, "Infotainment system") &gt; 0,
  VLOOKUP(D31, 챕터!$F$4:$G$100, 2, FALSE),
  IF(
    SUM(COUNTIF($D$5:$D$571, {"Hybrid system overview","Electric vehicle guide","Infotainment system"})) &gt; 0,
    VLOOKUP(D31, 챕터!$D$4:$E$100, 2, FALSE),
    VLOOKUP(D31, 챕터!$B$4:$C$100, 2, FALSE)
  )
))</f>
        <v>Q</v>
      </c>
      <c r="K31" s="57"/>
      <c r="L31"/>
      <c r="M31"/>
      <c r="N31" s="19"/>
      <c r="O31" s="1"/>
    </row>
    <row r="32" spans="2:15">
      <c r="B32" s="55">
        <v>28</v>
      </c>
      <c r="C32" t="s">
        <v>88</v>
      </c>
      <c r="D32" s="85" t="s">
        <v>629</v>
      </c>
      <c r="E32" s="59" t="s">
        <v>1</v>
      </c>
      <c r="F32" s="32">
        <v>4500</v>
      </c>
      <c r="G32" s="56">
        <v>1</v>
      </c>
      <c r="H32" s="32">
        <v>4500</v>
      </c>
      <c r="I32" s="58" t="str">
        <f t="shared" ca="1" si="0"/>
        <v>MV1_EV_27MY_KO</v>
      </c>
      <c r="J32" s="65" t="str" cm="1">
        <f t="array" ref="J32">IF(D32="","",IF(
  COUNTIF($D$5:$D$571, "Infotainment system") &gt; 0,
  VLOOKUP(D32, 챕터!$F$4:$G$100, 2, FALSE),
  IF(
    SUM(COUNTIF($D$5:$D$571, {"Hybrid system overview","Electric vehicle guide","Infotainment system"})) &gt; 0,
    VLOOKUP(D32, 챕터!$D$4:$E$100, 2, FALSE),
    VLOOKUP(D32, 챕터!$B$4:$C$100, 2, FALSE)
  )
))</f>
        <v>Q</v>
      </c>
      <c r="K32" s="57"/>
      <c r="L32"/>
      <c r="M32"/>
      <c r="N32" s="19"/>
      <c r="O32" s="1"/>
    </row>
    <row r="33" spans="2:15">
      <c r="B33" s="55">
        <v>29</v>
      </c>
      <c r="C33" t="s">
        <v>89</v>
      </c>
      <c r="D33" s="85" t="s">
        <v>629</v>
      </c>
      <c r="E33" s="59" t="s">
        <v>1</v>
      </c>
      <c r="F33" s="32">
        <v>4500</v>
      </c>
      <c r="G33" s="56">
        <v>1</v>
      </c>
      <c r="H33" s="32">
        <v>4500</v>
      </c>
      <c r="I33" s="58" t="str">
        <f t="shared" ca="1" si="0"/>
        <v>MV1_EV_27MY_KO</v>
      </c>
      <c r="J33" s="65" t="str" cm="1">
        <f t="array" ref="J33">IF(D33="","",IF(
  COUNTIF($D$5:$D$571, "Infotainment system") &gt; 0,
  VLOOKUP(D33, 챕터!$F$4:$G$100, 2, FALSE),
  IF(
    SUM(COUNTIF($D$5:$D$571, {"Hybrid system overview","Electric vehicle guide","Infotainment system"})) &gt; 0,
    VLOOKUP(D33, 챕터!$D$4:$E$100, 2, FALSE),
    VLOOKUP(D33, 챕터!$B$4:$C$100, 2, FALSE)
  )
))</f>
        <v>Q</v>
      </c>
      <c r="K33" s="57"/>
      <c r="L33"/>
      <c r="M33"/>
      <c r="N33" s="19"/>
      <c r="O33" s="1"/>
    </row>
    <row r="34" spans="2:15">
      <c r="B34" s="55">
        <v>30</v>
      </c>
      <c r="C34" t="s">
        <v>90</v>
      </c>
      <c r="D34" s="85" t="s">
        <v>629</v>
      </c>
      <c r="E34" s="59" t="s">
        <v>1</v>
      </c>
      <c r="F34" s="32">
        <v>4500</v>
      </c>
      <c r="G34" s="56">
        <v>1</v>
      </c>
      <c r="H34" s="32">
        <v>4500</v>
      </c>
      <c r="I34" s="58" t="str">
        <f t="shared" ca="1" si="0"/>
        <v>MV1_EV_27MY_KO</v>
      </c>
      <c r="J34" s="65" t="str" cm="1">
        <f t="array" ref="J34">IF(D34="","",IF(
  COUNTIF($D$5:$D$571, "Infotainment system") &gt; 0,
  VLOOKUP(D34, 챕터!$F$4:$G$100, 2, FALSE),
  IF(
    SUM(COUNTIF($D$5:$D$571, {"Hybrid system overview","Electric vehicle guide","Infotainment system"})) &gt; 0,
    VLOOKUP(D34, 챕터!$D$4:$E$100, 2, FALSE),
    VLOOKUP(D34, 챕터!$B$4:$C$100, 2, FALSE)
  )
))</f>
        <v>Q</v>
      </c>
      <c r="K34" s="57"/>
      <c r="L34"/>
      <c r="M34"/>
      <c r="N34" s="19"/>
      <c r="O34" s="1"/>
    </row>
    <row r="35" spans="2:15">
      <c r="B35" s="55">
        <v>31</v>
      </c>
      <c r="C35" t="s">
        <v>91</v>
      </c>
      <c r="D35" s="85" t="s">
        <v>629</v>
      </c>
      <c r="E35" s="59" t="s">
        <v>1</v>
      </c>
      <c r="F35" s="32">
        <v>4500</v>
      </c>
      <c r="G35" s="56">
        <v>1</v>
      </c>
      <c r="H35" s="32">
        <v>4500</v>
      </c>
      <c r="I35" s="58" t="str">
        <f t="shared" ca="1" si="0"/>
        <v>MV1_EV_27MY_KO</v>
      </c>
      <c r="J35" s="65" t="str" cm="1">
        <f t="array" ref="J35">IF(D35="","",IF(
  COUNTIF($D$5:$D$571, "Infotainment system") &gt; 0,
  VLOOKUP(D35, 챕터!$F$4:$G$100, 2, FALSE),
  IF(
    SUM(COUNTIF($D$5:$D$571, {"Hybrid system overview","Electric vehicle guide","Infotainment system"})) &gt; 0,
    VLOOKUP(D35, 챕터!$D$4:$E$100, 2, FALSE),
    VLOOKUP(D35, 챕터!$B$4:$C$100, 2, FALSE)
  )
))</f>
        <v>Q</v>
      </c>
      <c r="K35" s="57"/>
      <c r="L35"/>
      <c r="M35"/>
      <c r="N35" s="19"/>
      <c r="O35" s="1"/>
    </row>
    <row r="36" spans="2:15">
      <c r="B36" s="55">
        <v>32</v>
      </c>
      <c r="C36" t="s">
        <v>92</v>
      </c>
      <c r="D36" s="85" t="s">
        <v>629</v>
      </c>
      <c r="E36" s="59" t="s">
        <v>1</v>
      </c>
      <c r="F36" s="32">
        <v>4500</v>
      </c>
      <c r="G36" s="56">
        <v>1</v>
      </c>
      <c r="H36" s="32">
        <v>4500</v>
      </c>
      <c r="I36" s="58" t="str">
        <f t="shared" ca="1" si="0"/>
        <v>MV1_EV_27MY_KO</v>
      </c>
      <c r="J36" s="65" t="str" cm="1">
        <f t="array" ref="J36">IF(D36="","",IF(
  COUNTIF($D$5:$D$571, "Infotainment system") &gt; 0,
  VLOOKUP(D36, 챕터!$F$4:$G$100, 2, FALSE),
  IF(
    SUM(COUNTIF($D$5:$D$571, {"Hybrid system overview","Electric vehicle guide","Infotainment system"})) &gt; 0,
    VLOOKUP(D36, 챕터!$D$4:$E$100, 2, FALSE),
    VLOOKUP(D36, 챕터!$B$4:$C$100, 2, FALSE)
  )
))</f>
        <v>Q</v>
      </c>
      <c r="K36" s="57"/>
      <c r="L36"/>
      <c r="M36"/>
      <c r="N36" s="19"/>
      <c r="O36" s="1"/>
    </row>
    <row r="37" spans="2:15">
      <c r="B37" s="55">
        <v>33</v>
      </c>
      <c r="C37" t="s">
        <v>93</v>
      </c>
      <c r="D37" s="85" t="s">
        <v>629</v>
      </c>
      <c r="E37" s="59" t="s">
        <v>1</v>
      </c>
      <c r="F37" s="32">
        <v>4500</v>
      </c>
      <c r="G37" s="56">
        <v>1</v>
      </c>
      <c r="H37" s="32">
        <v>4500</v>
      </c>
      <c r="I37" s="58" t="str">
        <f t="shared" ca="1" si="0"/>
        <v>MV1_EV_27MY_KO</v>
      </c>
      <c r="J37" s="65" t="str" cm="1">
        <f t="array" ref="J37">IF(D37="","",IF(
  COUNTIF($D$5:$D$571, "Infotainment system") &gt; 0,
  VLOOKUP(D37, 챕터!$F$4:$G$100, 2, FALSE),
  IF(
    SUM(COUNTIF($D$5:$D$571, {"Hybrid system overview","Electric vehicle guide","Infotainment system"})) &gt; 0,
    VLOOKUP(D37, 챕터!$D$4:$E$100, 2, FALSE),
    VLOOKUP(D37, 챕터!$B$4:$C$100, 2, FALSE)
  )
))</f>
        <v>Q</v>
      </c>
      <c r="K37" s="57"/>
      <c r="L37"/>
      <c r="M37"/>
      <c r="N37" s="19"/>
      <c r="O37" s="1"/>
    </row>
    <row r="38" spans="2:15">
      <c r="B38" s="55">
        <v>34</v>
      </c>
      <c r="C38" t="s">
        <v>94</v>
      </c>
      <c r="D38" s="85" t="s">
        <v>629</v>
      </c>
      <c r="E38" s="59" t="s">
        <v>1</v>
      </c>
      <c r="F38" s="32">
        <v>4500</v>
      </c>
      <c r="G38" s="56">
        <v>1</v>
      </c>
      <c r="H38" s="32">
        <v>4500</v>
      </c>
      <c r="I38" s="58" t="str">
        <f t="shared" ca="1" si="0"/>
        <v>MV1_EV_27MY_KO</v>
      </c>
      <c r="J38" s="65" t="str" cm="1">
        <f t="array" ref="J38">IF(D38="","",IF(
  COUNTIF($D$5:$D$571, "Infotainment system") &gt; 0,
  VLOOKUP(D38, 챕터!$F$4:$G$100, 2, FALSE),
  IF(
    SUM(COUNTIF($D$5:$D$571, {"Hybrid system overview","Electric vehicle guide","Infotainment system"})) &gt; 0,
    VLOOKUP(D38, 챕터!$D$4:$E$100, 2, FALSE),
    VLOOKUP(D38, 챕터!$B$4:$C$100, 2, FALSE)
  )
))</f>
        <v>Q</v>
      </c>
      <c r="K38" s="57"/>
      <c r="L38"/>
      <c r="M38"/>
      <c r="N38" s="19"/>
      <c r="O38" s="1"/>
    </row>
    <row r="39" spans="2:15">
      <c r="B39" s="55">
        <v>35</v>
      </c>
      <c r="C39" t="s">
        <v>95</v>
      </c>
      <c r="D39" s="85" t="s">
        <v>629</v>
      </c>
      <c r="E39" s="59" t="s">
        <v>1</v>
      </c>
      <c r="F39" s="32">
        <v>4500</v>
      </c>
      <c r="G39" s="56">
        <v>1</v>
      </c>
      <c r="H39" s="32">
        <v>4500</v>
      </c>
      <c r="I39" s="58" t="str">
        <f t="shared" ca="1" si="0"/>
        <v>MV1_EV_27MY_KO</v>
      </c>
      <c r="J39" s="65" t="str" cm="1">
        <f t="array" ref="J39">IF(D39="","",IF(
  COUNTIF($D$5:$D$571, "Infotainment system") &gt; 0,
  VLOOKUP(D39, 챕터!$F$4:$G$100, 2, FALSE),
  IF(
    SUM(COUNTIF($D$5:$D$571, {"Hybrid system overview","Electric vehicle guide","Infotainment system"})) &gt; 0,
    VLOOKUP(D39, 챕터!$D$4:$E$100, 2, FALSE),
    VLOOKUP(D39, 챕터!$B$4:$C$100, 2, FALSE)
  )
))</f>
        <v>Q</v>
      </c>
      <c r="K39" s="57"/>
      <c r="L39"/>
      <c r="M39"/>
      <c r="N39" s="19"/>
      <c r="O39" s="1"/>
    </row>
    <row r="40" spans="2:15">
      <c r="B40" s="55">
        <v>36</v>
      </c>
      <c r="C40" t="s">
        <v>96</v>
      </c>
      <c r="D40" s="85" t="s">
        <v>629</v>
      </c>
      <c r="E40" s="59" t="s">
        <v>1</v>
      </c>
      <c r="F40" s="32">
        <v>4500</v>
      </c>
      <c r="G40" s="56">
        <v>1</v>
      </c>
      <c r="H40" s="32">
        <v>4500</v>
      </c>
      <c r="I40" s="58" t="str">
        <f t="shared" ca="1" si="0"/>
        <v>MV1_EV_27MY_KO</v>
      </c>
      <c r="J40" s="65" t="str" cm="1">
        <f t="array" ref="J40">IF(D40="","",IF(
  COUNTIF($D$5:$D$571, "Infotainment system") &gt; 0,
  VLOOKUP(D40, 챕터!$F$4:$G$100, 2, FALSE),
  IF(
    SUM(COUNTIF($D$5:$D$571, {"Hybrid system overview","Electric vehicle guide","Infotainment system"})) &gt; 0,
    VLOOKUP(D40, 챕터!$D$4:$E$100, 2, FALSE),
    VLOOKUP(D40, 챕터!$B$4:$C$100, 2, FALSE)
  )
))</f>
        <v>Q</v>
      </c>
      <c r="K40" s="57"/>
      <c r="L40"/>
      <c r="M40"/>
      <c r="N40" s="19"/>
      <c r="O40" s="1"/>
    </row>
    <row r="41" spans="2:15">
      <c r="B41" s="55">
        <v>37</v>
      </c>
      <c r="C41" t="s">
        <v>97</v>
      </c>
      <c r="D41" s="85" t="s">
        <v>629</v>
      </c>
      <c r="E41" s="59" t="s">
        <v>1</v>
      </c>
      <c r="F41" s="32">
        <v>4500</v>
      </c>
      <c r="G41" s="56">
        <v>1</v>
      </c>
      <c r="H41" s="32">
        <v>4500</v>
      </c>
      <c r="I41" s="58" t="str">
        <f t="shared" ca="1" si="0"/>
        <v>MV1_EV_27MY_KO</v>
      </c>
      <c r="J41" s="65" t="str" cm="1">
        <f t="array" ref="J41">IF(D41="","",IF(
  COUNTIF($D$5:$D$571, "Infotainment system") &gt; 0,
  VLOOKUP(D41, 챕터!$F$4:$G$100, 2, FALSE),
  IF(
    SUM(COUNTIF($D$5:$D$571, {"Hybrid system overview","Electric vehicle guide","Infotainment system"})) &gt; 0,
    VLOOKUP(D41, 챕터!$D$4:$E$100, 2, FALSE),
    VLOOKUP(D41, 챕터!$B$4:$C$100, 2, FALSE)
  )
))</f>
        <v>Q</v>
      </c>
      <c r="K41" s="57"/>
      <c r="L41"/>
      <c r="M41"/>
      <c r="N41" s="19"/>
      <c r="O41" s="1"/>
    </row>
    <row r="42" spans="2:15">
      <c r="B42" s="55">
        <v>38</v>
      </c>
      <c r="C42" t="s">
        <v>98</v>
      </c>
      <c r="D42" s="85" t="s">
        <v>629</v>
      </c>
      <c r="E42" s="59" t="s">
        <v>1</v>
      </c>
      <c r="F42" s="32">
        <v>4500</v>
      </c>
      <c r="G42" s="56">
        <v>1</v>
      </c>
      <c r="H42" s="32">
        <v>4500</v>
      </c>
      <c r="I42" s="58" t="str">
        <f t="shared" ca="1" si="0"/>
        <v>MV1_EV_27MY_KO</v>
      </c>
      <c r="J42" s="65" t="str" cm="1">
        <f t="array" ref="J42">IF(D42="","",IF(
  COUNTIF($D$5:$D$571, "Infotainment system") &gt; 0,
  VLOOKUP(D42, 챕터!$F$4:$G$100, 2, FALSE),
  IF(
    SUM(COUNTIF($D$5:$D$571, {"Hybrid system overview","Electric vehicle guide","Infotainment system"})) &gt; 0,
    VLOOKUP(D42, 챕터!$D$4:$E$100, 2, FALSE),
    VLOOKUP(D42, 챕터!$B$4:$C$100, 2, FALSE)
  )
))</f>
        <v>Q</v>
      </c>
      <c r="K42" s="57"/>
      <c r="L42"/>
      <c r="M42"/>
      <c r="N42" s="19"/>
      <c r="O42" s="1"/>
    </row>
    <row r="43" spans="2:15">
      <c r="B43" s="55">
        <v>39</v>
      </c>
      <c r="C43" t="s">
        <v>99</v>
      </c>
      <c r="D43" s="85" t="s">
        <v>629</v>
      </c>
      <c r="E43" s="59" t="s">
        <v>1</v>
      </c>
      <c r="F43" s="32">
        <v>4500</v>
      </c>
      <c r="G43" s="56">
        <v>1</v>
      </c>
      <c r="H43" s="32">
        <v>4500</v>
      </c>
      <c r="I43" s="58" t="str">
        <f t="shared" ca="1" si="0"/>
        <v>MV1_EV_27MY_KO</v>
      </c>
      <c r="J43" s="65" t="str" cm="1">
        <f t="array" ref="J43">IF(D43="","",IF(
  COUNTIF($D$5:$D$571, "Infotainment system") &gt; 0,
  VLOOKUP(D43, 챕터!$F$4:$G$100, 2, FALSE),
  IF(
    SUM(COUNTIF($D$5:$D$571, {"Hybrid system overview","Electric vehicle guide","Infotainment system"})) &gt; 0,
    VLOOKUP(D43, 챕터!$D$4:$E$100, 2, FALSE),
    VLOOKUP(D43, 챕터!$B$4:$C$100, 2, FALSE)
  )
))</f>
        <v>Q</v>
      </c>
      <c r="K43" s="57"/>
      <c r="L43"/>
      <c r="M43"/>
      <c r="N43" s="19"/>
      <c r="O43" s="1"/>
    </row>
    <row r="44" spans="2:15">
      <c r="B44" s="55">
        <v>40</v>
      </c>
      <c r="C44" t="s">
        <v>100</v>
      </c>
      <c r="D44" s="85" t="s">
        <v>629</v>
      </c>
      <c r="E44" s="59" t="s">
        <v>1</v>
      </c>
      <c r="F44" s="32">
        <v>4500</v>
      </c>
      <c r="G44" s="56">
        <v>1</v>
      </c>
      <c r="H44" s="32">
        <v>4500</v>
      </c>
      <c r="I44" s="58" t="str">
        <f t="shared" ca="1" si="0"/>
        <v>MV1_EV_27MY_KO</v>
      </c>
      <c r="J44" s="65" t="str" cm="1">
        <f t="array" ref="J44">IF(D44="","",IF(
  COUNTIF($D$5:$D$571, "Infotainment system") &gt; 0,
  VLOOKUP(D44, 챕터!$F$4:$G$100, 2, FALSE),
  IF(
    SUM(COUNTIF($D$5:$D$571, {"Hybrid system overview","Electric vehicle guide","Infotainment system"})) &gt; 0,
    VLOOKUP(D44, 챕터!$D$4:$E$100, 2, FALSE),
    VLOOKUP(D44, 챕터!$B$4:$C$100, 2, FALSE)
  )
))</f>
        <v>Q</v>
      </c>
      <c r="K44" s="57"/>
      <c r="L44"/>
      <c r="M44"/>
      <c r="N44" s="19"/>
      <c r="O44" s="1"/>
    </row>
    <row r="45" spans="2:15">
      <c r="B45" s="55">
        <v>41</v>
      </c>
      <c r="C45" t="s">
        <v>101</v>
      </c>
      <c r="D45" s="85" t="s">
        <v>629</v>
      </c>
      <c r="E45" s="59" t="s">
        <v>1</v>
      </c>
      <c r="F45" s="32">
        <v>4500</v>
      </c>
      <c r="G45" s="56">
        <v>1</v>
      </c>
      <c r="H45" s="32">
        <v>4500</v>
      </c>
      <c r="I45" s="58" t="str">
        <f t="shared" ca="1" si="0"/>
        <v>MV1_EV_27MY_KO</v>
      </c>
      <c r="J45" s="65" t="str" cm="1">
        <f t="array" ref="J45">IF(D45="","",IF(
  COUNTIF($D$5:$D$571, "Infotainment system") &gt; 0,
  VLOOKUP(D45, 챕터!$F$4:$G$100, 2, FALSE),
  IF(
    SUM(COUNTIF($D$5:$D$571, {"Hybrid system overview","Electric vehicle guide","Infotainment system"})) &gt; 0,
    VLOOKUP(D45, 챕터!$D$4:$E$100, 2, FALSE),
    VLOOKUP(D45, 챕터!$B$4:$C$100, 2, FALSE)
  )
))</f>
        <v>Q</v>
      </c>
      <c r="K45" s="57"/>
      <c r="L45"/>
      <c r="M45"/>
      <c r="N45" s="19"/>
      <c r="O45" s="1"/>
    </row>
    <row r="46" spans="2:15">
      <c r="B46" s="55">
        <v>42</v>
      </c>
      <c r="C46" t="s">
        <v>102</v>
      </c>
      <c r="D46" s="85" t="s">
        <v>629</v>
      </c>
      <c r="E46" s="59" t="s">
        <v>1</v>
      </c>
      <c r="F46" s="32">
        <v>4500</v>
      </c>
      <c r="G46" s="56">
        <v>1</v>
      </c>
      <c r="H46" s="32">
        <v>4500</v>
      </c>
      <c r="I46" s="58" t="str">
        <f t="shared" ca="1" si="0"/>
        <v>MV1_EV_27MY_KO</v>
      </c>
      <c r="J46" s="65" t="str" cm="1">
        <f t="array" ref="J46">IF(D46="","",IF(
  COUNTIF($D$5:$D$571, "Infotainment system") &gt; 0,
  VLOOKUP(D46, 챕터!$F$4:$G$100, 2, FALSE),
  IF(
    SUM(COUNTIF($D$5:$D$571, {"Hybrid system overview","Electric vehicle guide","Infotainment system"})) &gt; 0,
    VLOOKUP(D46, 챕터!$D$4:$E$100, 2, FALSE),
    VLOOKUP(D46, 챕터!$B$4:$C$100, 2, FALSE)
  )
))</f>
        <v>Q</v>
      </c>
      <c r="K46" s="57"/>
      <c r="L46"/>
      <c r="M46"/>
      <c r="N46" s="19"/>
      <c r="O46" s="1"/>
    </row>
    <row r="47" spans="2:15">
      <c r="B47" s="55">
        <v>43</v>
      </c>
      <c r="C47" t="s">
        <v>103</v>
      </c>
      <c r="D47" s="85" t="s">
        <v>629</v>
      </c>
      <c r="E47" s="59" t="s">
        <v>1</v>
      </c>
      <c r="F47" s="32">
        <v>4500</v>
      </c>
      <c r="G47" s="56">
        <v>1</v>
      </c>
      <c r="H47" s="32">
        <v>4500</v>
      </c>
      <c r="I47" s="58" t="str">
        <f t="shared" ca="1" si="0"/>
        <v>MV1_EV_27MY_KO</v>
      </c>
      <c r="J47" s="65" t="str" cm="1">
        <f t="array" ref="J47">IF(D47="","",IF(
  COUNTIF($D$5:$D$571, "Infotainment system") &gt; 0,
  VLOOKUP(D47, 챕터!$F$4:$G$100, 2, FALSE),
  IF(
    SUM(COUNTIF($D$5:$D$571, {"Hybrid system overview","Electric vehicle guide","Infotainment system"})) &gt; 0,
    VLOOKUP(D47, 챕터!$D$4:$E$100, 2, FALSE),
    VLOOKUP(D47, 챕터!$B$4:$C$100, 2, FALSE)
  )
))</f>
        <v>Q</v>
      </c>
      <c r="K47" s="57"/>
      <c r="L47"/>
      <c r="M47"/>
      <c r="N47" s="19"/>
      <c r="O47" s="1"/>
    </row>
    <row r="48" spans="2:15">
      <c r="B48" s="55">
        <v>44</v>
      </c>
      <c r="C48" t="s">
        <v>104</v>
      </c>
      <c r="D48" s="85" t="s">
        <v>629</v>
      </c>
      <c r="E48" s="59" t="s">
        <v>1</v>
      </c>
      <c r="F48" s="32">
        <v>4500</v>
      </c>
      <c r="G48" s="56">
        <v>1</v>
      </c>
      <c r="H48" s="32">
        <v>4500</v>
      </c>
      <c r="I48" s="58" t="str">
        <f t="shared" ca="1" si="0"/>
        <v>MV1_EV_27MY_KO</v>
      </c>
      <c r="J48" s="65" t="str" cm="1">
        <f t="array" ref="J48">IF(D48="","",IF(
  COUNTIF($D$5:$D$571, "Infotainment system") &gt; 0,
  VLOOKUP(D48, 챕터!$F$4:$G$100, 2, FALSE),
  IF(
    SUM(COUNTIF($D$5:$D$571, {"Hybrid system overview","Electric vehicle guide","Infotainment system"})) &gt; 0,
    VLOOKUP(D48, 챕터!$D$4:$E$100, 2, FALSE),
    VLOOKUP(D48, 챕터!$B$4:$C$100, 2, FALSE)
  )
))</f>
        <v>Q</v>
      </c>
      <c r="K48" s="57"/>
      <c r="L48"/>
      <c r="M48"/>
      <c r="N48" s="19"/>
      <c r="O48" s="1"/>
    </row>
    <row r="49" spans="2:15">
      <c r="B49" s="55">
        <v>45</v>
      </c>
      <c r="C49" t="s">
        <v>105</v>
      </c>
      <c r="D49" s="85" t="s">
        <v>629</v>
      </c>
      <c r="E49" s="59" t="s">
        <v>1</v>
      </c>
      <c r="F49" s="32">
        <v>4500</v>
      </c>
      <c r="G49" s="56">
        <v>1</v>
      </c>
      <c r="H49" s="32">
        <v>4500</v>
      </c>
      <c r="I49" s="58" t="str">
        <f t="shared" ca="1" si="0"/>
        <v>MV1_EV_27MY_KO</v>
      </c>
      <c r="J49" s="65" t="str" cm="1">
        <f t="array" ref="J49">IF(D49="","",IF(
  COUNTIF($D$5:$D$571, "Infotainment system") &gt; 0,
  VLOOKUP(D49, 챕터!$F$4:$G$100, 2, FALSE),
  IF(
    SUM(COUNTIF($D$5:$D$571, {"Hybrid system overview","Electric vehicle guide","Infotainment system"})) &gt; 0,
    VLOOKUP(D49, 챕터!$D$4:$E$100, 2, FALSE),
    VLOOKUP(D49, 챕터!$B$4:$C$100, 2, FALSE)
  )
))</f>
        <v>Q</v>
      </c>
      <c r="K49" s="57"/>
      <c r="L49"/>
      <c r="M49"/>
      <c r="N49" s="19"/>
      <c r="O49" s="1"/>
    </row>
    <row r="50" spans="2:15">
      <c r="B50" s="55">
        <v>46</v>
      </c>
      <c r="C50" t="s">
        <v>106</v>
      </c>
      <c r="D50" s="85" t="s">
        <v>629</v>
      </c>
      <c r="E50" s="59" t="s">
        <v>1</v>
      </c>
      <c r="F50" s="32">
        <v>4500</v>
      </c>
      <c r="G50" s="56">
        <v>1</v>
      </c>
      <c r="H50" s="32">
        <v>4500</v>
      </c>
      <c r="I50" s="58" t="str">
        <f t="shared" ca="1" si="0"/>
        <v>MV1_EV_27MY_KO</v>
      </c>
      <c r="J50" s="65" t="str" cm="1">
        <f t="array" ref="J50">IF(D50="","",IF(
  COUNTIF($D$5:$D$571, "Infotainment system") &gt; 0,
  VLOOKUP(D50, 챕터!$F$4:$G$100, 2, FALSE),
  IF(
    SUM(COUNTIF($D$5:$D$571, {"Hybrid system overview","Electric vehicle guide","Infotainment system"})) &gt; 0,
    VLOOKUP(D50, 챕터!$D$4:$E$100, 2, FALSE),
    VLOOKUP(D50, 챕터!$B$4:$C$100, 2, FALSE)
  )
))</f>
        <v>Q</v>
      </c>
      <c r="K50" s="57"/>
      <c r="L50"/>
      <c r="M50"/>
      <c r="N50" s="19"/>
      <c r="O50" s="1"/>
    </row>
    <row r="51" spans="2:15">
      <c r="B51" s="55">
        <v>47</v>
      </c>
      <c r="C51" t="s">
        <v>107</v>
      </c>
      <c r="D51" s="85" t="s">
        <v>629</v>
      </c>
      <c r="E51" s="59" t="s">
        <v>1</v>
      </c>
      <c r="F51" s="32">
        <v>4500</v>
      </c>
      <c r="G51" s="56">
        <v>1</v>
      </c>
      <c r="H51" s="32">
        <v>4500</v>
      </c>
      <c r="I51" s="58" t="str">
        <f t="shared" ca="1" si="0"/>
        <v>MV1_EV_27MY_KO</v>
      </c>
      <c r="J51" s="65" t="str" cm="1">
        <f t="array" ref="J51">IF(D51="","",IF(
  COUNTIF($D$5:$D$571, "Infotainment system") &gt; 0,
  VLOOKUP(D51, 챕터!$F$4:$G$100, 2, FALSE),
  IF(
    SUM(COUNTIF($D$5:$D$571, {"Hybrid system overview","Electric vehicle guide","Infotainment system"})) &gt; 0,
    VLOOKUP(D51, 챕터!$D$4:$E$100, 2, FALSE),
    VLOOKUP(D51, 챕터!$B$4:$C$100, 2, FALSE)
  )
))</f>
        <v>Q</v>
      </c>
      <c r="K51" s="57"/>
      <c r="L51"/>
      <c r="M51"/>
      <c r="N51" s="19"/>
      <c r="O51" s="1"/>
    </row>
    <row r="52" spans="2:15">
      <c r="B52" s="55">
        <v>48</v>
      </c>
      <c r="C52" t="s">
        <v>108</v>
      </c>
      <c r="D52" s="85" t="s">
        <v>629</v>
      </c>
      <c r="E52" s="59" t="s">
        <v>1</v>
      </c>
      <c r="F52" s="32">
        <v>4500</v>
      </c>
      <c r="G52" s="56">
        <v>1</v>
      </c>
      <c r="H52" s="32">
        <v>4500</v>
      </c>
      <c r="I52" s="58" t="str">
        <f t="shared" ca="1" si="0"/>
        <v>MV1_EV_27MY_KO</v>
      </c>
      <c r="J52" s="65" t="str" cm="1">
        <f t="array" ref="J52">IF(D52="","",IF(
  COUNTIF($D$5:$D$571, "Infotainment system") &gt; 0,
  VLOOKUP(D52, 챕터!$F$4:$G$100, 2, FALSE),
  IF(
    SUM(COUNTIF($D$5:$D$571, {"Hybrid system overview","Electric vehicle guide","Infotainment system"})) &gt; 0,
    VLOOKUP(D52, 챕터!$D$4:$E$100, 2, FALSE),
    VLOOKUP(D52, 챕터!$B$4:$C$100, 2, FALSE)
  )
))</f>
        <v>Q</v>
      </c>
      <c r="K52" s="57"/>
      <c r="L52"/>
      <c r="M52"/>
      <c r="N52" s="19"/>
      <c r="O52" s="1"/>
    </row>
    <row r="53" spans="2:15">
      <c r="B53" s="55">
        <v>49</v>
      </c>
      <c r="C53" t="s">
        <v>109</v>
      </c>
      <c r="D53" s="85" t="s">
        <v>629</v>
      </c>
      <c r="E53" s="59" t="s">
        <v>1</v>
      </c>
      <c r="F53" s="32">
        <v>4500</v>
      </c>
      <c r="G53" s="56">
        <v>1</v>
      </c>
      <c r="H53" s="32">
        <v>4500</v>
      </c>
      <c r="I53" s="58" t="str">
        <f t="shared" ca="1" si="0"/>
        <v>MV1_EV_27MY_KO</v>
      </c>
      <c r="J53" s="65" t="str" cm="1">
        <f t="array" ref="J53">IF(D53="","",IF(
  COUNTIF($D$5:$D$571, "Infotainment system") &gt; 0,
  VLOOKUP(D53, 챕터!$F$4:$G$100, 2, FALSE),
  IF(
    SUM(COUNTIF($D$5:$D$571, {"Hybrid system overview","Electric vehicle guide","Infotainment system"})) &gt; 0,
    VLOOKUP(D53, 챕터!$D$4:$E$100, 2, FALSE),
    VLOOKUP(D53, 챕터!$B$4:$C$100, 2, FALSE)
  )
))</f>
        <v>Q</v>
      </c>
      <c r="K53" s="57"/>
      <c r="L53"/>
      <c r="M53"/>
      <c r="N53" s="19"/>
      <c r="O53" s="1"/>
    </row>
    <row r="54" spans="2:15">
      <c r="B54" s="55">
        <v>50</v>
      </c>
      <c r="C54" t="s">
        <v>110</v>
      </c>
      <c r="D54" s="85" t="s">
        <v>629</v>
      </c>
      <c r="E54" s="59" t="s">
        <v>1</v>
      </c>
      <c r="F54" s="32">
        <v>4500</v>
      </c>
      <c r="G54" s="56">
        <v>1</v>
      </c>
      <c r="H54" s="32">
        <v>4500</v>
      </c>
      <c r="I54" s="58" t="str">
        <f t="shared" ca="1" si="0"/>
        <v>MV1_EV_27MY_KO</v>
      </c>
      <c r="J54" s="65" t="str" cm="1">
        <f t="array" ref="J54">IF(D54="","",IF(
  COUNTIF($D$5:$D$571, "Infotainment system") &gt; 0,
  VLOOKUP(D54, 챕터!$F$4:$G$100, 2, FALSE),
  IF(
    SUM(COUNTIF($D$5:$D$571, {"Hybrid system overview","Electric vehicle guide","Infotainment system"})) &gt; 0,
    VLOOKUP(D54, 챕터!$D$4:$E$100, 2, FALSE),
    VLOOKUP(D54, 챕터!$B$4:$C$100, 2, FALSE)
  )
))</f>
        <v>Q</v>
      </c>
      <c r="K54" s="57"/>
      <c r="L54"/>
      <c r="M54"/>
      <c r="N54" s="19"/>
      <c r="O54" s="1"/>
    </row>
    <row r="55" spans="2:15">
      <c r="B55" s="55">
        <v>51</v>
      </c>
      <c r="C55" t="s">
        <v>111</v>
      </c>
      <c r="D55" s="85" t="s">
        <v>629</v>
      </c>
      <c r="E55" s="59" t="s">
        <v>1</v>
      </c>
      <c r="F55" s="32">
        <v>4500</v>
      </c>
      <c r="G55" s="56">
        <v>1</v>
      </c>
      <c r="H55" s="32">
        <v>4500</v>
      </c>
      <c r="I55" s="58" t="str">
        <f t="shared" ca="1" si="0"/>
        <v>MV1_EV_27MY_KO</v>
      </c>
      <c r="J55" s="65" t="str" cm="1">
        <f t="array" ref="J55">IF(D55="","",IF(
  COUNTIF($D$5:$D$571, "Infotainment system") &gt; 0,
  VLOOKUP(D55, 챕터!$F$4:$G$100, 2, FALSE),
  IF(
    SUM(COUNTIF($D$5:$D$571, {"Hybrid system overview","Electric vehicle guide","Infotainment system"})) &gt; 0,
    VLOOKUP(D55, 챕터!$D$4:$E$100, 2, FALSE),
    VLOOKUP(D55, 챕터!$B$4:$C$100, 2, FALSE)
  )
))</f>
        <v>Q</v>
      </c>
      <c r="K55" s="57"/>
      <c r="L55"/>
      <c r="M55"/>
      <c r="N55" s="19"/>
      <c r="O55" s="1"/>
    </row>
    <row r="56" spans="2:15">
      <c r="B56" s="55">
        <v>52</v>
      </c>
      <c r="C56" t="s">
        <v>112</v>
      </c>
      <c r="D56" s="85" t="s">
        <v>629</v>
      </c>
      <c r="E56" s="59" t="s">
        <v>1</v>
      </c>
      <c r="F56" s="32">
        <v>4500</v>
      </c>
      <c r="G56" s="56">
        <v>1</v>
      </c>
      <c r="H56" s="32">
        <v>4500</v>
      </c>
      <c r="I56" s="58" t="str">
        <f t="shared" ca="1" si="0"/>
        <v>MV1_EV_27MY_KO</v>
      </c>
      <c r="J56" s="65" t="str" cm="1">
        <f t="array" ref="J56">IF(D56="","",IF(
  COUNTIF($D$5:$D$571, "Infotainment system") &gt; 0,
  VLOOKUP(D56, 챕터!$F$4:$G$100, 2, FALSE),
  IF(
    SUM(COUNTIF($D$5:$D$571, {"Hybrid system overview","Electric vehicle guide","Infotainment system"})) &gt; 0,
    VLOOKUP(D56, 챕터!$D$4:$E$100, 2, FALSE),
    VLOOKUP(D56, 챕터!$B$4:$C$100, 2, FALSE)
  )
))</f>
        <v>Q</v>
      </c>
      <c r="K56" s="57"/>
      <c r="L56"/>
      <c r="M56"/>
      <c r="N56" s="19"/>
      <c r="O56" s="1"/>
    </row>
    <row r="57" spans="2:15">
      <c r="B57" s="55">
        <v>53</v>
      </c>
      <c r="C57" t="s">
        <v>113</v>
      </c>
      <c r="D57" s="85" t="s">
        <v>629</v>
      </c>
      <c r="E57" s="59" t="s">
        <v>1</v>
      </c>
      <c r="F57" s="32">
        <v>4500</v>
      </c>
      <c r="G57" s="56">
        <v>1</v>
      </c>
      <c r="H57" s="32">
        <v>4500</v>
      </c>
      <c r="I57" s="58" t="str">
        <f t="shared" ca="1" si="0"/>
        <v>MV1_EV_27MY_KO</v>
      </c>
      <c r="J57" s="65" t="str" cm="1">
        <f t="array" ref="J57">IF(D57="","",IF(
  COUNTIF($D$5:$D$571, "Infotainment system") &gt; 0,
  VLOOKUP(D57, 챕터!$F$4:$G$100, 2, FALSE),
  IF(
    SUM(COUNTIF($D$5:$D$571, {"Hybrid system overview","Electric vehicle guide","Infotainment system"})) &gt; 0,
    VLOOKUP(D57, 챕터!$D$4:$E$100, 2, FALSE),
    VLOOKUP(D57, 챕터!$B$4:$C$100, 2, FALSE)
  )
))</f>
        <v>Q</v>
      </c>
      <c r="K57" s="57"/>
      <c r="L57"/>
      <c r="M57"/>
      <c r="N57" s="19"/>
      <c r="O57" s="1"/>
    </row>
    <row r="58" spans="2:15">
      <c r="B58" s="55">
        <v>54</v>
      </c>
      <c r="C58" t="s">
        <v>114</v>
      </c>
      <c r="D58" s="85" t="s">
        <v>629</v>
      </c>
      <c r="E58" s="59" t="s">
        <v>1</v>
      </c>
      <c r="F58" s="32">
        <v>4500</v>
      </c>
      <c r="G58" s="56">
        <v>1</v>
      </c>
      <c r="H58" s="32">
        <v>4500</v>
      </c>
      <c r="I58" s="58" t="str">
        <f t="shared" ca="1" si="0"/>
        <v>MV1_EV_27MY_KO</v>
      </c>
      <c r="J58" s="65" t="str" cm="1">
        <f t="array" ref="J58">IF(D58="","",IF(
  COUNTIF($D$5:$D$571, "Infotainment system") &gt; 0,
  VLOOKUP(D58, 챕터!$F$4:$G$100, 2, FALSE),
  IF(
    SUM(COUNTIF($D$5:$D$571, {"Hybrid system overview","Electric vehicle guide","Infotainment system"})) &gt; 0,
    VLOOKUP(D58, 챕터!$D$4:$E$100, 2, FALSE),
    VLOOKUP(D58, 챕터!$B$4:$C$100, 2, FALSE)
  )
))</f>
        <v>Q</v>
      </c>
      <c r="K58" s="57"/>
      <c r="L58"/>
      <c r="M58"/>
      <c r="N58" s="19"/>
      <c r="O58" s="1"/>
    </row>
    <row r="59" spans="2:15">
      <c r="B59" s="55">
        <v>55</v>
      </c>
      <c r="C59" t="s">
        <v>115</v>
      </c>
      <c r="D59" s="85" t="s">
        <v>629</v>
      </c>
      <c r="E59" s="59" t="s">
        <v>1</v>
      </c>
      <c r="F59" s="32">
        <v>4500</v>
      </c>
      <c r="G59" s="56">
        <v>1</v>
      </c>
      <c r="H59" s="32">
        <v>4500</v>
      </c>
      <c r="I59" s="58" t="str">
        <f t="shared" ca="1" si="0"/>
        <v>MV1_EV_27MY_KO</v>
      </c>
      <c r="J59" s="65" t="str" cm="1">
        <f t="array" ref="J59">IF(D59="","",IF(
  COUNTIF($D$5:$D$571, "Infotainment system") &gt; 0,
  VLOOKUP(D59, 챕터!$F$4:$G$100, 2, FALSE),
  IF(
    SUM(COUNTIF($D$5:$D$571, {"Hybrid system overview","Electric vehicle guide","Infotainment system"})) &gt; 0,
    VLOOKUP(D59, 챕터!$D$4:$E$100, 2, FALSE),
    VLOOKUP(D59, 챕터!$B$4:$C$100, 2, FALSE)
  )
))</f>
        <v>Q</v>
      </c>
      <c r="K59" s="57"/>
      <c r="L59"/>
      <c r="M59"/>
      <c r="N59" s="19"/>
      <c r="O59" s="1"/>
    </row>
    <row r="60" spans="2:15">
      <c r="B60" s="55">
        <v>56</v>
      </c>
      <c r="C60" t="s">
        <v>116</v>
      </c>
      <c r="D60" s="85" t="s">
        <v>629</v>
      </c>
      <c r="E60" s="59" t="s">
        <v>1</v>
      </c>
      <c r="F60" s="32">
        <v>4500</v>
      </c>
      <c r="G60" s="56">
        <v>1</v>
      </c>
      <c r="H60" s="32">
        <v>4500</v>
      </c>
      <c r="I60" s="58" t="str">
        <f t="shared" ca="1" si="0"/>
        <v>MV1_EV_27MY_KO</v>
      </c>
      <c r="J60" s="65" t="str" cm="1">
        <f t="array" ref="J60">IF(D60="","",IF(
  COUNTIF($D$5:$D$571, "Infotainment system") &gt; 0,
  VLOOKUP(D60, 챕터!$F$4:$G$100, 2, FALSE),
  IF(
    SUM(COUNTIF($D$5:$D$571, {"Hybrid system overview","Electric vehicle guide","Infotainment system"})) &gt; 0,
    VLOOKUP(D60, 챕터!$D$4:$E$100, 2, FALSE),
    VLOOKUP(D60, 챕터!$B$4:$C$100, 2, FALSE)
  )
))</f>
        <v>Q</v>
      </c>
      <c r="K60" s="57"/>
      <c r="L60"/>
      <c r="M60"/>
      <c r="N60" s="19"/>
      <c r="O60" s="1"/>
    </row>
    <row r="61" spans="2:15">
      <c r="B61" s="55">
        <v>57</v>
      </c>
      <c r="C61" t="s">
        <v>117</v>
      </c>
      <c r="D61" s="85" t="s">
        <v>629</v>
      </c>
      <c r="E61" s="59" t="s">
        <v>1</v>
      </c>
      <c r="F61" s="32">
        <v>4500</v>
      </c>
      <c r="G61" s="56">
        <v>1</v>
      </c>
      <c r="H61" s="32">
        <v>4500</v>
      </c>
      <c r="I61" s="58" t="str">
        <f t="shared" ca="1" si="0"/>
        <v>MV1_EV_27MY_KO</v>
      </c>
      <c r="J61" s="65" t="str" cm="1">
        <f t="array" ref="J61">IF(D61="","",IF(
  COUNTIF($D$5:$D$571, "Infotainment system") &gt; 0,
  VLOOKUP(D61, 챕터!$F$4:$G$100, 2, FALSE),
  IF(
    SUM(COUNTIF($D$5:$D$571, {"Hybrid system overview","Electric vehicle guide","Infotainment system"})) &gt; 0,
    VLOOKUP(D61, 챕터!$D$4:$E$100, 2, FALSE),
    VLOOKUP(D61, 챕터!$B$4:$C$100, 2, FALSE)
  )
))</f>
        <v>Q</v>
      </c>
      <c r="K61" s="57"/>
      <c r="L61"/>
      <c r="M61"/>
      <c r="N61" s="19"/>
      <c r="O61" s="1"/>
    </row>
    <row r="62" spans="2:15">
      <c r="B62" s="55">
        <v>58</v>
      </c>
      <c r="C62" t="s">
        <v>118</v>
      </c>
      <c r="D62" s="85" t="s">
        <v>629</v>
      </c>
      <c r="E62" s="59" t="s">
        <v>1</v>
      </c>
      <c r="F62" s="32">
        <v>4500</v>
      </c>
      <c r="G62" s="56">
        <v>1</v>
      </c>
      <c r="H62" s="32">
        <v>4500</v>
      </c>
      <c r="I62" s="58" t="str">
        <f t="shared" ca="1" si="0"/>
        <v>MV1_EV_27MY_KO</v>
      </c>
      <c r="J62" s="65" t="str" cm="1">
        <f t="array" ref="J62">IF(D62="","",IF(
  COUNTIF($D$5:$D$571, "Infotainment system") &gt; 0,
  VLOOKUP(D62, 챕터!$F$4:$G$100, 2, FALSE),
  IF(
    SUM(COUNTIF($D$5:$D$571, {"Hybrid system overview","Electric vehicle guide","Infotainment system"})) &gt; 0,
    VLOOKUP(D62, 챕터!$D$4:$E$100, 2, FALSE),
    VLOOKUP(D62, 챕터!$B$4:$C$100, 2, FALSE)
  )
))</f>
        <v>Q</v>
      </c>
      <c r="K62" s="57"/>
      <c r="L62"/>
      <c r="M62"/>
      <c r="N62" s="19"/>
      <c r="O62" s="1"/>
    </row>
    <row r="63" spans="2:15">
      <c r="B63" s="55">
        <v>59</v>
      </c>
      <c r="C63" t="s">
        <v>119</v>
      </c>
      <c r="D63" s="85" t="s">
        <v>629</v>
      </c>
      <c r="E63" s="59" t="s">
        <v>1</v>
      </c>
      <c r="F63" s="32">
        <v>4500</v>
      </c>
      <c r="G63" s="56">
        <v>1</v>
      </c>
      <c r="H63" s="32">
        <v>4500</v>
      </c>
      <c r="I63" s="58" t="str">
        <f t="shared" ca="1" si="0"/>
        <v>MV1_EV_27MY_KO</v>
      </c>
      <c r="J63" s="65" t="str" cm="1">
        <f t="array" ref="J63">IF(D63="","",IF(
  COUNTIF($D$5:$D$571, "Infotainment system") &gt; 0,
  VLOOKUP(D63, 챕터!$F$4:$G$100, 2, FALSE),
  IF(
    SUM(COUNTIF($D$5:$D$571, {"Hybrid system overview","Electric vehicle guide","Infotainment system"})) &gt; 0,
    VLOOKUP(D63, 챕터!$D$4:$E$100, 2, FALSE),
    VLOOKUP(D63, 챕터!$B$4:$C$100, 2, FALSE)
  )
))</f>
        <v>Q</v>
      </c>
      <c r="K63" s="57"/>
      <c r="L63"/>
      <c r="M63"/>
      <c r="N63" s="19"/>
      <c r="O63" s="1"/>
    </row>
    <row r="64" spans="2:15">
      <c r="B64" s="55">
        <v>60</v>
      </c>
      <c r="C64" t="s">
        <v>120</v>
      </c>
      <c r="D64" s="85" t="s">
        <v>629</v>
      </c>
      <c r="E64" s="59" t="s">
        <v>1</v>
      </c>
      <c r="F64" s="32">
        <v>4500</v>
      </c>
      <c r="G64" s="56">
        <v>1</v>
      </c>
      <c r="H64" s="32">
        <v>4500</v>
      </c>
      <c r="I64" s="58" t="str">
        <f t="shared" ca="1" si="0"/>
        <v>MV1_EV_27MY_KO</v>
      </c>
      <c r="J64" s="65" t="str" cm="1">
        <f t="array" ref="J64">IF(D64="","",IF(
  COUNTIF($D$5:$D$571, "Infotainment system") &gt; 0,
  VLOOKUP(D64, 챕터!$F$4:$G$100, 2, FALSE),
  IF(
    SUM(COUNTIF($D$5:$D$571, {"Hybrid system overview","Electric vehicle guide","Infotainment system"})) &gt; 0,
    VLOOKUP(D64, 챕터!$D$4:$E$100, 2, FALSE),
    VLOOKUP(D64, 챕터!$B$4:$C$100, 2, FALSE)
  )
))</f>
        <v>Q</v>
      </c>
      <c r="K64" s="57"/>
      <c r="L64"/>
      <c r="M64"/>
      <c r="N64" s="19"/>
      <c r="O64" s="1"/>
    </row>
    <row r="65" spans="2:15">
      <c r="B65" s="55">
        <v>61</v>
      </c>
      <c r="C65" t="s">
        <v>121</v>
      </c>
      <c r="D65" s="85" t="s">
        <v>629</v>
      </c>
      <c r="E65" s="59" t="s">
        <v>1</v>
      </c>
      <c r="F65" s="32">
        <v>4500</v>
      </c>
      <c r="G65" s="56">
        <v>1</v>
      </c>
      <c r="H65" s="32">
        <v>4500</v>
      </c>
      <c r="I65" s="58" t="str">
        <f t="shared" ca="1" si="0"/>
        <v>MV1_EV_27MY_KO</v>
      </c>
      <c r="J65" s="65" t="str" cm="1">
        <f t="array" ref="J65">IF(D65="","",IF(
  COUNTIF($D$5:$D$571, "Infotainment system") &gt; 0,
  VLOOKUP(D65, 챕터!$F$4:$G$100, 2, FALSE),
  IF(
    SUM(COUNTIF($D$5:$D$571, {"Hybrid system overview","Electric vehicle guide","Infotainment system"})) &gt; 0,
    VLOOKUP(D65, 챕터!$D$4:$E$100, 2, FALSE),
    VLOOKUP(D65, 챕터!$B$4:$C$100, 2, FALSE)
  )
))</f>
        <v>Q</v>
      </c>
      <c r="K65" s="57"/>
      <c r="L65"/>
      <c r="M65"/>
      <c r="N65" s="19"/>
      <c r="O65" s="1"/>
    </row>
    <row r="66" spans="2:15">
      <c r="B66" s="55">
        <v>62</v>
      </c>
      <c r="C66" t="s">
        <v>122</v>
      </c>
      <c r="D66" s="85" t="s">
        <v>629</v>
      </c>
      <c r="E66" s="59" t="s">
        <v>1</v>
      </c>
      <c r="F66" s="32">
        <v>4500</v>
      </c>
      <c r="G66" s="56">
        <v>1</v>
      </c>
      <c r="H66" s="32">
        <v>4500</v>
      </c>
      <c r="I66" s="58" t="str">
        <f t="shared" ca="1" si="0"/>
        <v>MV1_EV_27MY_KO</v>
      </c>
      <c r="J66" s="65" t="str" cm="1">
        <f t="array" ref="J66">IF(D66="","",IF(
  COUNTIF($D$5:$D$571, "Infotainment system") &gt; 0,
  VLOOKUP(D66, 챕터!$F$4:$G$100, 2, FALSE),
  IF(
    SUM(COUNTIF($D$5:$D$571, {"Hybrid system overview","Electric vehicle guide","Infotainment system"})) &gt; 0,
    VLOOKUP(D66, 챕터!$D$4:$E$100, 2, FALSE),
    VLOOKUP(D66, 챕터!$B$4:$C$100, 2, FALSE)
  )
))</f>
        <v>Q</v>
      </c>
      <c r="K66" s="57"/>
      <c r="L66"/>
      <c r="M66"/>
      <c r="N66" s="19"/>
      <c r="O66" s="1"/>
    </row>
    <row r="67" spans="2:15">
      <c r="B67" s="55">
        <v>63</v>
      </c>
      <c r="C67" t="s">
        <v>123</v>
      </c>
      <c r="D67" s="85" t="s">
        <v>629</v>
      </c>
      <c r="E67" s="59" t="s">
        <v>1</v>
      </c>
      <c r="F67" s="32">
        <v>4500</v>
      </c>
      <c r="G67" s="56">
        <v>1</v>
      </c>
      <c r="H67" s="32">
        <v>4500</v>
      </c>
      <c r="I67" s="58" t="str">
        <f t="shared" ca="1" si="0"/>
        <v>MV1_EV_27MY_KO</v>
      </c>
      <c r="J67" s="65" t="str" cm="1">
        <f t="array" ref="J67">IF(D67="","",IF(
  COUNTIF($D$5:$D$571, "Infotainment system") &gt; 0,
  VLOOKUP(D67, 챕터!$F$4:$G$100, 2, FALSE),
  IF(
    SUM(COUNTIF($D$5:$D$571, {"Hybrid system overview","Electric vehicle guide","Infotainment system"})) &gt; 0,
    VLOOKUP(D67, 챕터!$D$4:$E$100, 2, FALSE),
    VLOOKUP(D67, 챕터!$B$4:$C$100, 2, FALSE)
  )
))</f>
        <v>Q</v>
      </c>
      <c r="K67" s="57"/>
      <c r="L67"/>
      <c r="M67"/>
      <c r="N67" s="19"/>
      <c r="O67" s="1"/>
    </row>
    <row r="68" spans="2:15">
      <c r="B68" s="55">
        <v>64</v>
      </c>
      <c r="C68" t="s">
        <v>124</v>
      </c>
      <c r="D68" s="85" t="s">
        <v>629</v>
      </c>
      <c r="E68" s="59" t="s">
        <v>1</v>
      </c>
      <c r="F68" s="32">
        <v>4500</v>
      </c>
      <c r="G68" s="56">
        <v>1</v>
      </c>
      <c r="H68" s="32">
        <v>4500</v>
      </c>
      <c r="I68" s="58" t="str">
        <f t="shared" ca="1" si="0"/>
        <v>MV1_EV_27MY_KO</v>
      </c>
      <c r="J68" s="65" t="str" cm="1">
        <f t="array" ref="J68">IF(D68="","",IF(
  COUNTIF($D$5:$D$571, "Infotainment system") &gt; 0,
  VLOOKUP(D68, 챕터!$F$4:$G$100, 2, FALSE),
  IF(
    SUM(COUNTIF($D$5:$D$571, {"Hybrid system overview","Electric vehicle guide","Infotainment system"})) &gt; 0,
    VLOOKUP(D68, 챕터!$D$4:$E$100, 2, FALSE),
    VLOOKUP(D68, 챕터!$B$4:$C$100, 2, FALSE)
  )
))</f>
        <v>Q</v>
      </c>
      <c r="K68" s="57"/>
      <c r="L68"/>
      <c r="M68"/>
      <c r="N68" s="19"/>
      <c r="O68" s="1"/>
    </row>
    <row r="69" spans="2:15">
      <c r="B69" s="55">
        <v>65</v>
      </c>
      <c r="C69" t="s">
        <v>125</v>
      </c>
      <c r="D69" s="85" t="s">
        <v>629</v>
      </c>
      <c r="E69" s="59" t="s">
        <v>1</v>
      </c>
      <c r="F69" s="32">
        <v>4500</v>
      </c>
      <c r="G69" s="56">
        <v>1</v>
      </c>
      <c r="H69" s="32">
        <v>4500</v>
      </c>
      <c r="I69" s="58" t="str">
        <f t="shared" ca="1" si="0"/>
        <v>MV1_EV_27MY_KO</v>
      </c>
      <c r="J69" s="65" t="str" cm="1">
        <f t="array" ref="J69">IF(D69="","",IF(
  COUNTIF($D$5:$D$571, "Infotainment system") &gt; 0,
  VLOOKUP(D69, 챕터!$F$4:$G$100, 2, FALSE),
  IF(
    SUM(COUNTIF($D$5:$D$571, {"Hybrid system overview","Electric vehicle guide","Infotainment system"})) &gt; 0,
    VLOOKUP(D69, 챕터!$D$4:$E$100, 2, FALSE),
    VLOOKUP(D69, 챕터!$B$4:$C$100, 2, FALSE)
  )
))</f>
        <v>Q</v>
      </c>
      <c r="K69" s="57"/>
      <c r="L69"/>
      <c r="M69"/>
      <c r="N69" s="19"/>
      <c r="O69" s="1"/>
    </row>
    <row r="70" spans="2:15">
      <c r="B70" s="55">
        <v>66</v>
      </c>
      <c r="C70" t="s">
        <v>126</v>
      </c>
      <c r="D70" s="85" t="s">
        <v>629</v>
      </c>
      <c r="E70" s="59" t="s">
        <v>1</v>
      </c>
      <c r="F70" s="32">
        <v>4500</v>
      </c>
      <c r="G70" s="56">
        <v>1</v>
      </c>
      <c r="H70" s="32">
        <v>4500</v>
      </c>
      <c r="I70" s="58" t="str">
        <f t="shared" ca="1" si="0"/>
        <v>MV1_EV_27MY_KO</v>
      </c>
      <c r="J70" s="65" t="str" cm="1">
        <f t="array" ref="J70">IF(D70="","",IF(
  COUNTIF($D$5:$D$571, "Infotainment system") &gt; 0,
  VLOOKUP(D70, 챕터!$F$4:$G$100, 2, FALSE),
  IF(
    SUM(COUNTIF($D$5:$D$571, {"Hybrid system overview","Electric vehicle guide","Infotainment system"})) &gt; 0,
    VLOOKUP(D70, 챕터!$D$4:$E$100, 2, FALSE),
    VLOOKUP(D70, 챕터!$B$4:$C$100, 2, FALSE)
  )
))</f>
        <v>Q</v>
      </c>
      <c r="K70" s="57"/>
      <c r="L70"/>
      <c r="M70"/>
      <c r="N70" s="19"/>
      <c r="O70" s="1"/>
    </row>
    <row r="71" spans="2:15">
      <c r="B71" s="55">
        <v>67</v>
      </c>
      <c r="C71" t="s">
        <v>127</v>
      </c>
      <c r="D71" s="85" t="s">
        <v>629</v>
      </c>
      <c r="E71" s="59" t="s">
        <v>1</v>
      </c>
      <c r="F71" s="32">
        <v>4500</v>
      </c>
      <c r="G71" s="56">
        <v>1</v>
      </c>
      <c r="H71" s="32">
        <v>4500</v>
      </c>
      <c r="I71" s="58" t="str">
        <f t="shared" ref="I71:I134" ca="1" si="1">IF(D71="","",$I$5)</f>
        <v>MV1_EV_27MY_KO</v>
      </c>
      <c r="J71" s="65" t="str" cm="1">
        <f t="array" ref="J71">IF(D71="","",IF(
  COUNTIF($D$5:$D$571, "Infotainment system") &gt; 0,
  VLOOKUP(D71, 챕터!$F$4:$G$100, 2, FALSE),
  IF(
    SUM(COUNTIF($D$5:$D$571, {"Hybrid system overview","Electric vehicle guide","Infotainment system"})) &gt; 0,
    VLOOKUP(D71, 챕터!$D$4:$E$100, 2, FALSE),
    VLOOKUP(D71, 챕터!$B$4:$C$100, 2, FALSE)
  )
))</f>
        <v>Q</v>
      </c>
      <c r="K71" s="57"/>
      <c r="L71"/>
      <c r="M71"/>
      <c r="N71" s="19"/>
      <c r="O71" s="1"/>
    </row>
    <row r="72" spans="2:15">
      <c r="B72" s="55">
        <v>68</v>
      </c>
      <c r="C72" t="s">
        <v>128</v>
      </c>
      <c r="D72" s="85" t="s">
        <v>629</v>
      </c>
      <c r="E72" s="59" t="s">
        <v>1</v>
      </c>
      <c r="F72" s="32">
        <v>4500</v>
      </c>
      <c r="G72" s="56">
        <v>1</v>
      </c>
      <c r="H72" s="32">
        <v>4500</v>
      </c>
      <c r="I72" s="58" t="str">
        <f t="shared" ca="1" si="1"/>
        <v>MV1_EV_27MY_KO</v>
      </c>
      <c r="J72" s="65" t="str" cm="1">
        <f t="array" ref="J72">IF(D72="","",IF(
  COUNTIF($D$5:$D$571, "Infotainment system") &gt; 0,
  VLOOKUP(D72, 챕터!$F$4:$G$100, 2, FALSE),
  IF(
    SUM(COUNTIF($D$5:$D$571, {"Hybrid system overview","Electric vehicle guide","Infotainment system"})) &gt; 0,
    VLOOKUP(D72, 챕터!$D$4:$E$100, 2, FALSE),
    VLOOKUP(D72, 챕터!$B$4:$C$100, 2, FALSE)
  )
))</f>
        <v>Q</v>
      </c>
      <c r="K72" s="57"/>
      <c r="L72"/>
      <c r="M72"/>
      <c r="N72" s="19"/>
      <c r="O72" s="1"/>
    </row>
    <row r="73" spans="2:15">
      <c r="B73" s="55">
        <v>69</v>
      </c>
      <c r="C73" t="s">
        <v>129</v>
      </c>
      <c r="D73" s="85" t="s">
        <v>629</v>
      </c>
      <c r="E73" s="59" t="s">
        <v>1</v>
      </c>
      <c r="F73" s="32">
        <v>4500</v>
      </c>
      <c r="G73" s="56">
        <v>1</v>
      </c>
      <c r="H73" s="32">
        <v>4500</v>
      </c>
      <c r="I73" s="58" t="str">
        <f t="shared" ca="1" si="1"/>
        <v>MV1_EV_27MY_KO</v>
      </c>
      <c r="J73" s="65" t="str" cm="1">
        <f t="array" ref="J73">IF(D73="","",IF(
  COUNTIF($D$5:$D$571, "Infotainment system") &gt; 0,
  VLOOKUP(D73, 챕터!$F$4:$G$100, 2, FALSE),
  IF(
    SUM(COUNTIF($D$5:$D$571, {"Hybrid system overview","Electric vehicle guide","Infotainment system"})) &gt; 0,
    VLOOKUP(D73, 챕터!$D$4:$E$100, 2, FALSE),
    VLOOKUP(D73, 챕터!$B$4:$C$100, 2, FALSE)
  )
))</f>
        <v>Q</v>
      </c>
      <c r="K73" s="57"/>
      <c r="L73"/>
      <c r="M73"/>
      <c r="N73" s="19"/>
      <c r="O73" s="1"/>
    </row>
    <row r="74" spans="2:15">
      <c r="B74" s="55">
        <v>70</v>
      </c>
      <c r="C74" t="s">
        <v>130</v>
      </c>
      <c r="D74" s="85" t="s">
        <v>629</v>
      </c>
      <c r="E74" s="59" t="s">
        <v>1</v>
      </c>
      <c r="F74" s="32">
        <v>4500</v>
      </c>
      <c r="G74" s="56">
        <v>1</v>
      </c>
      <c r="H74" s="32">
        <v>4500</v>
      </c>
      <c r="I74" s="58" t="str">
        <f t="shared" ca="1" si="1"/>
        <v>MV1_EV_27MY_KO</v>
      </c>
      <c r="J74" s="65" t="str" cm="1">
        <f t="array" ref="J74">IF(D74="","",IF(
  COUNTIF($D$5:$D$571, "Infotainment system") &gt; 0,
  VLOOKUP(D74, 챕터!$F$4:$G$100, 2, FALSE),
  IF(
    SUM(COUNTIF($D$5:$D$571, {"Hybrid system overview","Electric vehicle guide","Infotainment system"})) &gt; 0,
    VLOOKUP(D74, 챕터!$D$4:$E$100, 2, FALSE),
    VLOOKUP(D74, 챕터!$B$4:$C$100, 2, FALSE)
  )
))</f>
        <v>Q</v>
      </c>
      <c r="K74" s="57"/>
      <c r="L74"/>
      <c r="M74"/>
      <c r="N74" s="19"/>
      <c r="O74" s="1"/>
    </row>
    <row r="75" spans="2:15">
      <c r="B75" s="55">
        <v>71</v>
      </c>
      <c r="C75" t="s">
        <v>131</v>
      </c>
      <c r="D75" s="85" t="s">
        <v>629</v>
      </c>
      <c r="E75" s="59" t="s">
        <v>1</v>
      </c>
      <c r="F75" s="32">
        <v>4500</v>
      </c>
      <c r="G75" s="56">
        <v>1</v>
      </c>
      <c r="H75" s="32">
        <v>4500</v>
      </c>
      <c r="I75" s="58" t="str">
        <f t="shared" ca="1" si="1"/>
        <v>MV1_EV_27MY_KO</v>
      </c>
      <c r="J75" s="65" t="str" cm="1">
        <f t="array" ref="J75">IF(D75="","",IF(
  COUNTIF($D$5:$D$571, "Infotainment system") &gt; 0,
  VLOOKUP(D75, 챕터!$F$4:$G$100, 2, FALSE),
  IF(
    SUM(COUNTIF($D$5:$D$571, {"Hybrid system overview","Electric vehicle guide","Infotainment system"})) &gt; 0,
    VLOOKUP(D75, 챕터!$D$4:$E$100, 2, FALSE),
    VLOOKUP(D75, 챕터!$B$4:$C$100, 2, FALSE)
  )
))</f>
        <v>Q</v>
      </c>
      <c r="K75" s="57"/>
      <c r="L75"/>
      <c r="M75"/>
      <c r="N75" s="19"/>
      <c r="O75" s="1"/>
    </row>
    <row r="76" spans="2:15">
      <c r="B76" s="55">
        <v>72</v>
      </c>
      <c r="C76" t="s">
        <v>132</v>
      </c>
      <c r="D76" s="85" t="s">
        <v>629</v>
      </c>
      <c r="E76" s="59" t="s">
        <v>1</v>
      </c>
      <c r="F76" s="32">
        <v>4500</v>
      </c>
      <c r="G76" s="56">
        <v>1</v>
      </c>
      <c r="H76" s="32">
        <v>4500</v>
      </c>
      <c r="I76" s="58" t="str">
        <f t="shared" ca="1" si="1"/>
        <v>MV1_EV_27MY_KO</v>
      </c>
      <c r="J76" s="65" t="str" cm="1">
        <f t="array" ref="J76">IF(D76="","",IF(
  COUNTIF($D$5:$D$571, "Infotainment system") &gt; 0,
  VLOOKUP(D76, 챕터!$F$4:$G$100, 2, FALSE),
  IF(
    SUM(COUNTIF($D$5:$D$571, {"Hybrid system overview","Electric vehicle guide","Infotainment system"})) &gt; 0,
    VLOOKUP(D76, 챕터!$D$4:$E$100, 2, FALSE),
    VLOOKUP(D76, 챕터!$B$4:$C$100, 2, FALSE)
  )
))</f>
        <v>Q</v>
      </c>
      <c r="K76" s="57"/>
      <c r="L76"/>
      <c r="M76"/>
      <c r="N76" s="19"/>
      <c r="O76" s="1"/>
    </row>
    <row r="77" spans="2:15">
      <c r="B77" s="55">
        <v>73</v>
      </c>
      <c r="C77" t="s">
        <v>133</v>
      </c>
      <c r="D77" s="85" t="s">
        <v>629</v>
      </c>
      <c r="E77" s="59" t="s">
        <v>1</v>
      </c>
      <c r="F77" s="32">
        <v>4500</v>
      </c>
      <c r="G77" s="56">
        <v>1</v>
      </c>
      <c r="H77" s="32">
        <v>4500</v>
      </c>
      <c r="I77" s="58" t="str">
        <f t="shared" ca="1" si="1"/>
        <v>MV1_EV_27MY_KO</v>
      </c>
      <c r="J77" s="65" t="str" cm="1">
        <f t="array" ref="J77">IF(D77="","",IF(
  COUNTIF($D$5:$D$571, "Infotainment system") &gt; 0,
  VLOOKUP(D77, 챕터!$F$4:$G$100, 2, FALSE),
  IF(
    SUM(COUNTIF($D$5:$D$571, {"Hybrid system overview","Electric vehicle guide","Infotainment system"})) &gt; 0,
    VLOOKUP(D77, 챕터!$D$4:$E$100, 2, FALSE),
    VLOOKUP(D77, 챕터!$B$4:$C$100, 2, FALSE)
  )
))</f>
        <v>Q</v>
      </c>
      <c r="K77" s="57"/>
      <c r="L77"/>
      <c r="M77"/>
      <c r="N77" s="19"/>
      <c r="O77" s="1"/>
    </row>
    <row r="78" spans="2:15">
      <c r="B78" s="55">
        <v>74</v>
      </c>
      <c r="C78" t="s">
        <v>134</v>
      </c>
      <c r="D78" s="85" t="s">
        <v>629</v>
      </c>
      <c r="E78" s="59" t="s">
        <v>1</v>
      </c>
      <c r="F78" s="32">
        <v>4500</v>
      </c>
      <c r="G78" s="56">
        <v>1</v>
      </c>
      <c r="H78" s="32">
        <v>4500</v>
      </c>
      <c r="I78" s="58" t="str">
        <f t="shared" ca="1" si="1"/>
        <v>MV1_EV_27MY_KO</v>
      </c>
      <c r="J78" s="65" t="str" cm="1">
        <f t="array" ref="J78">IF(D78="","",IF(
  COUNTIF($D$5:$D$571, "Infotainment system") &gt; 0,
  VLOOKUP(D78, 챕터!$F$4:$G$100, 2, FALSE),
  IF(
    SUM(COUNTIF($D$5:$D$571, {"Hybrid system overview","Electric vehicle guide","Infotainment system"})) &gt; 0,
    VLOOKUP(D78, 챕터!$D$4:$E$100, 2, FALSE),
    VLOOKUP(D78, 챕터!$B$4:$C$100, 2, FALSE)
  )
))</f>
        <v>Q</v>
      </c>
      <c r="K78" s="57"/>
      <c r="L78"/>
      <c r="M78"/>
      <c r="N78" s="19"/>
      <c r="O78" s="1"/>
    </row>
    <row r="79" spans="2:15">
      <c r="B79" s="55">
        <v>75</v>
      </c>
      <c r="C79" t="s">
        <v>135</v>
      </c>
      <c r="D79" s="85" t="s">
        <v>629</v>
      </c>
      <c r="E79" s="59" t="s">
        <v>1</v>
      </c>
      <c r="F79" s="32">
        <v>4500</v>
      </c>
      <c r="G79" s="56">
        <v>1</v>
      </c>
      <c r="H79" s="32">
        <v>4500</v>
      </c>
      <c r="I79" s="58" t="str">
        <f t="shared" ca="1" si="1"/>
        <v>MV1_EV_27MY_KO</v>
      </c>
      <c r="J79" s="65" t="str" cm="1">
        <f t="array" ref="J79">IF(D79="","",IF(
  COUNTIF($D$5:$D$571, "Infotainment system") &gt; 0,
  VLOOKUP(D79, 챕터!$F$4:$G$100, 2, FALSE),
  IF(
    SUM(COUNTIF($D$5:$D$571, {"Hybrid system overview","Electric vehicle guide","Infotainment system"})) &gt; 0,
    VLOOKUP(D79, 챕터!$D$4:$E$100, 2, FALSE),
    VLOOKUP(D79, 챕터!$B$4:$C$100, 2, FALSE)
  )
))</f>
        <v>Q</v>
      </c>
      <c r="K79" s="57"/>
      <c r="L79"/>
      <c r="M79"/>
      <c r="N79" s="19"/>
      <c r="O79" s="1"/>
    </row>
    <row r="80" spans="2:15">
      <c r="B80" s="55">
        <v>76</v>
      </c>
      <c r="C80" t="s">
        <v>136</v>
      </c>
      <c r="D80" s="85" t="s">
        <v>629</v>
      </c>
      <c r="E80" s="59" t="s">
        <v>1</v>
      </c>
      <c r="F80" s="32">
        <v>4500</v>
      </c>
      <c r="G80" s="56">
        <v>1</v>
      </c>
      <c r="H80" s="32">
        <v>4500</v>
      </c>
      <c r="I80" s="58" t="str">
        <f t="shared" ca="1" si="1"/>
        <v>MV1_EV_27MY_KO</v>
      </c>
      <c r="J80" s="65" t="str" cm="1">
        <f t="array" ref="J80">IF(D80="","",IF(
  COUNTIF($D$5:$D$571, "Infotainment system") &gt; 0,
  VLOOKUP(D80, 챕터!$F$4:$G$100, 2, FALSE),
  IF(
    SUM(COUNTIF($D$5:$D$571, {"Hybrid system overview","Electric vehicle guide","Infotainment system"})) &gt; 0,
    VLOOKUP(D80, 챕터!$D$4:$E$100, 2, FALSE),
    VLOOKUP(D80, 챕터!$B$4:$C$100, 2, FALSE)
  )
))</f>
        <v>Q</v>
      </c>
      <c r="K80" s="57"/>
      <c r="L80"/>
      <c r="M80"/>
      <c r="N80" s="19"/>
      <c r="O80" s="1"/>
    </row>
    <row r="81" spans="2:15">
      <c r="B81" s="55">
        <v>77</v>
      </c>
      <c r="C81" t="s">
        <v>137</v>
      </c>
      <c r="D81" s="85" t="s">
        <v>629</v>
      </c>
      <c r="E81" s="59" t="s">
        <v>1</v>
      </c>
      <c r="F81" s="32">
        <v>4500</v>
      </c>
      <c r="G81" s="56">
        <v>1</v>
      </c>
      <c r="H81" s="32">
        <v>4500</v>
      </c>
      <c r="I81" s="58" t="str">
        <f t="shared" ca="1" si="1"/>
        <v>MV1_EV_27MY_KO</v>
      </c>
      <c r="J81" s="65" t="str" cm="1">
        <f t="array" ref="J81">IF(D81="","",IF(
  COUNTIF($D$5:$D$571, "Infotainment system") &gt; 0,
  VLOOKUP(D81, 챕터!$F$4:$G$100, 2, FALSE),
  IF(
    SUM(COUNTIF($D$5:$D$571, {"Hybrid system overview","Electric vehicle guide","Infotainment system"})) &gt; 0,
    VLOOKUP(D81, 챕터!$D$4:$E$100, 2, FALSE),
    VLOOKUP(D81, 챕터!$B$4:$C$100, 2, FALSE)
  )
))</f>
        <v>Q</v>
      </c>
      <c r="K81" s="57"/>
      <c r="L81"/>
      <c r="M81"/>
      <c r="N81" s="19"/>
      <c r="O81" s="1"/>
    </row>
    <row r="82" spans="2:15">
      <c r="B82" s="55">
        <v>78</v>
      </c>
      <c r="C82" t="s">
        <v>138</v>
      </c>
      <c r="D82" s="85" t="s">
        <v>629</v>
      </c>
      <c r="E82" s="59" t="s">
        <v>1</v>
      </c>
      <c r="F82" s="32">
        <v>4500</v>
      </c>
      <c r="G82" s="56">
        <v>1</v>
      </c>
      <c r="H82" s="32">
        <v>4500</v>
      </c>
      <c r="I82" s="58" t="str">
        <f t="shared" ca="1" si="1"/>
        <v>MV1_EV_27MY_KO</v>
      </c>
      <c r="J82" s="65" t="str" cm="1">
        <f t="array" ref="J82">IF(D82="","",IF(
  COUNTIF($D$5:$D$571, "Infotainment system") &gt; 0,
  VLOOKUP(D82, 챕터!$F$4:$G$100, 2, FALSE),
  IF(
    SUM(COUNTIF($D$5:$D$571, {"Hybrid system overview","Electric vehicle guide","Infotainment system"})) &gt; 0,
    VLOOKUP(D82, 챕터!$D$4:$E$100, 2, FALSE),
    VLOOKUP(D82, 챕터!$B$4:$C$100, 2, FALSE)
  )
))</f>
        <v>Q</v>
      </c>
      <c r="K82" s="57"/>
      <c r="L82"/>
      <c r="M82"/>
      <c r="N82" s="19"/>
      <c r="O82" s="1"/>
    </row>
    <row r="83" spans="2:15">
      <c r="B83" s="55">
        <v>79</v>
      </c>
      <c r="C83" t="s">
        <v>139</v>
      </c>
      <c r="D83" s="85" t="s">
        <v>629</v>
      </c>
      <c r="E83" s="59" t="s">
        <v>1</v>
      </c>
      <c r="F83" s="32">
        <v>4500</v>
      </c>
      <c r="G83" s="56">
        <v>1</v>
      </c>
      <c r="H83" s="32">
        <v>4500</v>
      </c>
      <c r="I83" s="58" t="str">
        <f t="shared" ca="1" si="1"/>
        <v>MV1_EV_27MY_KO</v>
      </c>
      <c r="J83" s="65" t="str" cm="1">
        <f t="array" ref="J83">IF(D83="","",IF(
  COUNTIF($D$5:$D$571, "Infotainment system") &gt; 0,
  VLOOKUP(D83, 챕터!$F$4:$G$100, 2, FALSE),
  IF(
    SUM(COUNTIF($D$5:$D$571, {"Hybrid system overview","Electric vehicle guide","Infotainment system"})) &gt; 0,
    VLOOKUP(D83, 챕터!$D$4:$E$100, 2, FALSE),
    VLOOKUP(D83, 챕터!$B$4:$C$100, 2, FALSE)
  )
))</f>
        <v>Q</v>
      </c>
      <c r="K83" s="57"/>
      <c r="L83"/>
      <c r="M83"/>
      <c r="N83" s="19"/>
      <c r="O83" s="1"/>
    </row>
    <row r="84" spans="2:15">
      <c r="B84" s="55">
        <v>80</v>
      </c>
      <c r="C84" t="s">
        <v>140</v>
      </c>
      <c r="D84" s="85" t="s">
        <v>629</v>
      </c>
      <c r="E84" s="59" t="s">
        <v>1</v>
      </c>
      <c r="F84" s="32">
        <v>4500</v>
      </c>
      <c r="G84" s="56">
        <v>1</v>
      </c>
      <c r="H84" s="32">
        <v>4500</v>
      </c>
      <c r="I84" s="58" t="str">
        <f t="shared" ca="1" si="1"/>
        <v>MV1_EV_27MY_KO</v>
      </c>
      <c r="J84" s="65" t="str" cm="1">
        <f t="array" ref="J84">IF(D84="","",IF(
  COUNTIF($D$5:$D$571, "Infotainment system") &gt; 0,
  VLOOKUP(D84, 챕터!$F$4:$G$100, 2, FALSE),
  IF(
    SUM(COUNTIF($D$5:$D$571, {"Hybrid system overview","Electric vehicle guide","Infotainment system"})) &gt; 0,
    VLOOKUP(D84, 챕터!$D$4:$E$100, 2, FALSE),
    VLOOKUP(D84, 챕터!$B$4:$C$100, 2, FALSE)
  )
))</f>
        <v>Q</v>
      </c>
      <c r="K84" s="57"/>
      <c r="L84"/>
      <c r="M84"/>
      <c r="N84" s="19"/>
      <c r="O84" s="1"/>
    </row>
    <row r="85" spans="2:15">
      <c r="B85" s="55">
        <v>81</v>
      </c>
      <c r="C85" t="s">
        <v>141</v>
      </c>
      <c r="D85" s="85" t="s">
        <v>629</v>
      </c>
      <c r="E85" s="59" t="s">
        <v>1</v>
      </c>
      <c r="F85" s="32">
        <v>4500</v>
      </c>
      <c r="G85" s="56">
        <v>1</v>
      </c>
      <c r="H85" s="32">
        <v>4500</v>
      </c>
      <c r="I85" s="58" t="str">
        <f t="shared" ca="1" si="1"/>
        <v>MV1_EV_27MY_KO</v>
      </c>
      <c r="J85" s="65" t="str" cm="1">
        <f t="array" ref="J85">IF(D85="","",IF(
  COUNTIF($D$5:$D$571, "Infotainment system") &gt; 0,
  VLOOKUP(D85, 챕터!$F$4:$G$100, 2, FALSE),
  IF(
    SUM(COUNTIF($D$5:$D$571, {"Hybrid system overview","Electric vehicle guide","Infotainment system"})) &gt; 0,
    VLOOKUP(D85, 챕터!$D$4:$E$100, 2, FALSE),
    VLOOKUP(D85, 챕터!$B$4:$C$100, 2, FALSE)
  )
))</f>
        <v>Q</v>
      </c>
      <c r="K85" s="57"/>
      <c r="L85"/>
      <c r="M85"/>
      <c r="N85" s="19"/>
      <c r="O85" s="1"/>
    </row>
    <row r="86" spans="2:15">
      <c r="B86" s="55">
        <v>82</v>
      </c>
      <c r="C86" t="s">
        <v>142</v>
      </c>
      <c r="D86" s="85" t="s">
        <v>629</v>
      </c>
      <c r="E86" s="59" t="s">
        <v>1</v>
      </c>
      <c r="F86" s="32">
        <v>4500</v>
      </c>
      <c r="G86" s="56">
        <v>1</v>
      </c>
      <c r="H86" s="32">
        <v>4500</v>
      </c>
      <c r="I86" s="58" t="str">
        <f t="shared" ca="1" si="1"/>
        <v>MV1_EV_27MY_KO</v>
      </c>
      <c r="J86" s="65" t="str" cm="1">
        <f t="array" ref="J86">IF(D86="","",IF(
  COUNTIF($D$5:$D$571, "Infotainment system") &gt; 0,
  VLOOKUP(D86, 챕터!$F$4:$G$100, 2, FALSE),
  IF(
    SUM(COUNTIF($D$5:$D$571, {"Hybrid system overview","Electric vehicle guide","Infotainment system"})) &gt; 0,
    VLOOKUP(D86, 챕터!$D$4:$E$100, 2, FALSE),
    VLOOKUP(D86, 챕터!$B$4:$C$100, 2, FALSE)
  )
))</f>
        <v>Q</v>
      </c>
      <c r="K86" s="57"/>
      <c r="L86"/>
      <c r="M86"/>
      <c r="N86" s="19"/>
      <c r="O86" s="1"/>
    </row>
    <row r="87" spans="2:15">
      <c r="B87" s="55">
        <v>83</v>
      </c>
      <c r="C87" t="s">
        <v>143</v>
      </c>
      <c r="D87" s="85" t="s">
        <v>629</v>
      </c>
      <c r="E87" s="59" t="s">
        <v>1</v>
      </c>
      <c r="F87" s="32">
        <v>4500</v>
      </c>
      <c r="G87" s="56">
        <v>1</v>
      </c>
      <c r="H87" s="32">
        <v>4500</v>
      </c>
      <c r="I87" s="58" t="str">
        <f t="shared" ca="1" si="1"/>
        <v>MV1_EV_27MY_KO</v>
      </c>
      <c r="J87" s="65" t="str" cm="1">
        <f t="array" ref="J87">IF(D87="","",IF(
  COUNTIF($D$5:$D$571, "Infotainment system") &gt; 0,
  VLOOKUP(D87, 챕터!$F$4:$G$100, 2, FALSE),
  IF(
    SUM(COUNTIF($D$5:$D$571, {"Hybrid system overview","Electric vehicle guide","Infotainment system"})) &gt; 0,
    VLOOKUP(D87, 챕터!$D$4:$E$100, 2, FALSE),
    VLOOKUP(D87, 챕터!$B$4:$C$100, 2, FALSE)
  )
))</f>
        <v>Q</v>
      </c>
      <c r="K87" s="57"/>
      <c r="L87"/>
      <c r="M87"/>
      <c r="N87" s="19"/>
      <c r="O87" s="1"/>
    </row>
    <row r="88" spans="2:15">
      <c r="B88" s="55">
        <v>84</v>
      </c>
      <c r="C88" t="s">
        <v>144</v>
      </c>
      <c r="D88" s="85" t="s">
        <v>629</v>
      </c>
      <c r="E88" s="59" t="s">
        <v>1</v>
      </c>
      <c r="F88" s="32">
        <v>4500</v>
      </c>
      <c r="G88" s="56">
        <v>1</v>
      </c>
      <c r="H88" s="32">
        <v>4500</v>
      </c>
      <c r="I88" s="58" t="str">
        <f t="shared" ca="1" si="1"/>
        <v>MV1_EV_27MY_KO</v>
      </c>
      <c r="J88" s="65" t="str" cm="1">
        <f t="array" ref="J88">IF(D88="","",IF(
  COUNTIF($D$5:$D$571, "Infotainment system") &gt; 0,
  VLOOKUP(D88, 챕터!$F$4:$G$100, 2, FALSE),
  IF(
    SUM(COUNTIF($D$5:$D$571, {"Hybrid system overview","Electric vehicle guide","Infotainment system"})) &gt; 0,
    VLOOKUP(D88, 챕터!$D$4:$E$100, 2, FALSE),
    VLOOKUP(D88, 챕터!$B$4:$C$100, 2, FALSE)
  )
))</f>
        <v>Q</v>
      </c>
      <c r="K88" s="57"/>
      <c r="L88"/>
      <c r="M88"/>
      <c r="N88" s="19"/>
      <c r="O88" s="1"/>
    </row>
    <row r="89" spans="2:15">
      <c r="B89" s="55">
        <v>85</v>
      </c>
      <c r="C89" t="s">
        <v>145</v>
      </c>
      <c r="D89" s="85" t="s">
        <v>629</v>
      </c>
      <c r="E89" s="59" t="s">
        <v>1</v>
      </c>
      <c r="F89" s="32">
        <v>4500</v>
      </c>
      <c r="G89" s="56">
        <v>1</v>
      </c>
      <c r="H89" s="32">
        <v>4500</v>
      </c>
      <c r="I89" s="58" t="str">
        <f t="shared" ca="1" si="1"/>
        <v>MV1_EV_27MY_KO</v>
      </c>
      <c r="J89" s="65" t="str" cm="1">
        <f t="array" ref="J89">IF(D89="","",IF(
  COUNTIF($D$5:$D$571, "Infotainment system") &gt; 0,
  VLOOKUP(D89, 챕터!$F$4:$G$100, 2, FALSE),
  IF(
    SUM(COUNTIF($D$5:$D$571, {"Hybrid system overview","Electric vehicle guide","Infotainment system"})) &gt; 0,
    VLOOKUP(D89, 챕터!$D$4:$E$100, 2, FALSE),
    VLOOKUP(D89, 챕터!$B$4:$C$100, 2, FALSE)
  )
))</f>
        <v>Q</v>
      </c>
      <c r="K89" s="57"/>
      <c r="L89"/>
      <c r="M89"/>
      <c r="N89" s="19"/>
      <c r="O89" s="1"/>
    </row>
    <row r="90" spans="2:15">
      <c r="B90" s="55">
        <v>86</v>
      </c>
      <c r="C90" t="s">
        <v>146</v>
      </c>
      <c r="D90" s="85" t="s">
        <v>629</v>
      </c>
      <c r="E90" s="59" t="s">
        <v>1</v>
      </c>
      <c r="F90" s="32">
        <v>4500</v>
      </c>
      <c r="G90" s="56">
        <v>1</v>
      </c>
      <c r="H90" s="32">
        <v>4500</v>
      </c>
      <c r="I90" s="58" t="str">
        <f t="shared" ca="1" si="1"/>
        <v>MV1_EV_27MY_KO</v>
      </c>
      <c r="J90" s="65" t="str" cm="1">
        <f t="array" ref="J90">IF(D90="","",IF(
  COUNTIF($D$5:$D$571, "Infotainment system") &gt; 0,
  VLOOKUP(D90, 챕터!$F$4:$G$100, 2, FALSE),
  IF(
    SUM(COUNTIF($D$5:$D$571, {"Hybrid system overview","Electric vehicle guide","Infotainment system"})) &gt; 0,
    VLOOKUP(D90, 챕터!$D$4:$E$100, 2, FALSE),
    VLOOKUP(D90, 챕터!$B$4:$C$100, 2, FALSE)
  )
))</f>
        <v>Q</v>
      </c>
      <c r="K90" s="57"/>
      <c r="L90"/>
      <c r="M90"/>
      <c r="N90" s="19"/>
      <c r="O90" s="1"/>
    </row>
    <row r="91" spans="2:15">
      <c r="B91" s="55">
        <v>87</v>
      </c>
      <c r="C91" t="s">
        <v>147</v>
      </c>
      <c r="D91" s="85" t="s">
        <v>629</v>
      </c>
      <c r="E91" s="59" t="s">
        <v>1</v>
      </c>
      <c r="F91" s="32">
        <v>4500</v>
      </c>
      <c r="G91" s="56">
        <v>1</v>
      </c>
      <c r="H91" s="32">
        <v>4500</v>
      </c>
      <c r="I91" s="58" t="str">
        <f t="shared" ca="1" si="1"/>
        <v>MV1_EV_27MY_KO</v>
      </c>
      <c r="J91" s="65" t="str" cm="1">
        <f t="array" ref="J91">IF(D91="","",IF(
  COUNTIF($D$5:$D$571, "Infotainment system") &gt; 0,
  VLOOKUP(D91, 챕터!$F$4:$G$100, 2, FALSE),
  IF(
    SUM(COUNTIF($D$5:$D$571, {"Hybrid system overview","Electric vehicle guide","Infotainment system"})) &gt; 0,
    VLOOKUP(D91, 챕터!$D$4:$E$100, 2, FALSE),
    VLOOKUP(D91, 챕터!$B$4:$C$100, 2, FALSE)
  )
))</f>
        <v>Q</v>
      </c>
      <c r="K91" s="57"/>
      <c r="L91"/>
      <c r="M91"/>
      <c r="N91" s="19"/>
      <c r="O91" s="1"/>
    </row>
    <row r="92" spans="2:15">
      <c r="B92" s="55">
        <v>88</v>
      </c>
      <c r="C92" t="s">
        <v>148</v>
      </c>
      <c r="D92" s="85" t="s">
        <v>629</v>
      </c>
      <c r="E92" s="59" t="s">
        <v>1</v>
      </c>
      <c r="F92" s="32">
        <v>4500</v>
      </c>
      <c r="G92" s="56">
        <v>1</v>
      </c>
      <c r="H92" s="32">
        <v>4500</v>
      </c>
      <c r="I92" s="58" t="str">
        <f t="shared" ca="1" si="1"/>
        <v>MV1_EV_27MY_KO</v>
      </c>
      <c r="J92" s="65" t="str" cm="1">
        <f t="array" ref="J92">IF(D92="","",IF(
  COUNTIF($D$5:$D$571, "Infotainment system") &gt; 0,
  VLOOKUP(D92, 챕터!$F$4:$G$100, 2, FALSE),
  IF(
    SUM(COUNTIF($D$5:$D$571, {"Hybrid system overview","Electric vehicle guide","Infotainment system"})) &gt; 0,
    VLOOKUP(D92, 챕터!$D$4:$E$100, 2, FALSE),
    VLOOKUP(D92, 챕터!$B$4:$C$100, 2, FALSE)
  )
))</f>
        <v>Q</v>
      </c>
      <c r="K92" s="57"/>
      <c r="L92"/>
      <c r="M92"/>
      <c r="N92" s="19"/>
      <c r="O92" s="1"/>
    </row>
    <row r="93" spans="2:15">
      <c r="B93" s="55">
        <v>89</v>
      </c>
      <c r="C93" t="s">
        <v>149</v>
      </c>
      <c r="D93" s="85" t="s">
        <v>629</v>
      </c>
      <c r="E93" s="59" t="s">
        <v>1</v>
      </c>
      <c r="F93" s="32">
        <v>4500</v>
      </c>
      <c r="G93" s="56">
        <v>1</v>
      </c>
      <c r="H93" s="32">
        <v>4500</v>
      </c>
      <c r="I93" s="58" t="str">
        <f t="shared" ca="1" si="1"/>
        <v>MV1_EV_27MY_KO</v>
      </c>
      <c r="J93" s="65" t="str" cm="1">
        <f t="array" ref="J93">IF(D93="","",IF(
  COUNTIF($D$5:$D$571, "Infotainment system") &gt; 0,
  VLOOKUP(D93, 챕터!$F$4:$G$100, 2, FALSE),
  IF(
    SUM(COUNTIF($D$5:$D$571, {"Hybrid system overview","Electric vehicle guide","Infotainment system"})) &gt; 0,
    VLOOKUP(D93, 챕터!$D$4:$E$100, 2, FALSE),
    VLOOKUP(D93, 챕터!$B$4:$C$100, 2, FALSE)
  )
))</f>
        <v>Q</v>
      </c>
      <c r="K93" s="57"/>
      <c r="L93"/>
      <c r="M93"/>
      <c r="N93" s="19"/>
      <c r="O93" s="1"/>
    </row>
    <row r="94" spans="2:15">
      <c r="B94" s="55">
        <v>90</v>
      </c>
      <c r="C94" t="s">
        <v>150</v>
      </c>
      <c r="D94" s="85" t="s">
        <v>629</v>
      </c>
      <c r="E94" s="59" t="s">
        <v>1</v>
      </c>
      <c r="F94" s="32">
        <v>4500</v>
      </c>
      <c r="G94" s="56">
        <v>1</v>
      </c>
      <c r="H94" s="32">
        <v>4500</v>
      </c>
      <c r="I94" s="58" t="str">
        <f t="shared" ca="1" si="1"/>
        <v>MV1_EV_27MY_KO</v>
      </c>
      <c r="J94" s="65" t="str" cm="1">
        <f t="array" ref="J94">IF(D94="","",IF(
  COUNTIF($D$5:$D$571, "Infotainment system") &gt; 0,
  VLOOKUP(D94, 챕터!$F$4:$G$100, 2, FALSE),
  IF(
    SUM(COUNTIF($D$5:$D$571, {"Hybrid system overview","Electric vehicle guide","Infotainment system"})) &gt; 0,
    VLOOKUP(D94, 챕터!$D$4:$E$100, 2, FALSE),
    VLOOKUP(D94, 챕터!$B$4:$C$100, 2, FALSE)
  )
))</f>
        <v>Q</v>
      </c>
      <c r="K94" s="57"/>
      <c r="L94"/>
      <c r="M94"/>
      <c r="N94" s="19"/>
      <c r="O94" s="1"/>
    </row>
    <row r="95" spans="2:15">
      <c r="B95" s="55">
        <v>91</v>
      </c>
      <c r="C95" t="s">
        <v>151</v>
      </c>
      <c r="D95" s="85" t="s">
        <v>629</v>
      </c>
      <c r="E95" s="59" t="s">
        <v>1</v>
      </c>
      <c r="F95" s="32">
        <v>4500</v>
      </c>
      <c r="G95" s="56">
        <v>1</v>
      </c>
      <c r="H95" s="32">
        <v>4500</v>
      </c>
      <c r="I95" s="58" t="str">
        <f t="shared" ca="1" si="1"/>
        <v>MV1_EV_27MY_KO</v>
      </c>
      <c r="J95" s="65" t="str" cm="1">
        <f t="array" ref="J95">IF(D95="","",IF(
  COUNTIF($D$5:$D$571, "Infotainment system") &gt; 0,
  VLOOKUP(D95, 챕터!$F$4:$G$100, 2, FALSE),
  IF(
    SUM(COUNTIF($D$5:$D$571, {"Hybrid system overview","Electric vehicle guide","Infotainment system"})) &gt; 0,
    VLOOKUP(D95, 챕터!$D$4:$E$100, 2, FALSE),
    VLOOKUP(D95, 챕터!$B$4:$C$100, 2, FALSE)
  )
))</f>
        <v>Q</v>
      </c>
      <c r="K95" s="57"/>
      <c r="L95"/>
      <c r="M95"/>
      <c r="N95" s="19"/>
      <c r="O95" s="1"/>
    </row>
    <row r="96" spans="2:15">
      <c r="B96" s="55">
        <v>92</v>
      </c>
      <c r="C96" t="s">
        <v>152</v>
      </c>
      <c r="D96" s="85" t="s">
        <v>629</v>
      </c>
      <c r="E96" s="59" t="s">
        <v>1</v>
      </c>
      <c r="F96" s="32">
        <v>4500</v>
      </c>
      <c r="G96" s="56">
        <v>1</v>
      </c>
      <c r="H96" s="32">
        <v>4500</v>
      </c>
      <c r="I96" s="58" t="str">
        <f t="shared" ca="1" si="1"/>
        <v>MV1_EV_27MY_KO</v>
      </c>
      <c r="J96" s="65" t="str" cm="1">
        <f t="array" ref="J96">IF(D96="","",IF(
  COUNTIF($D$5:$D$571, "Infotainment system") &gt; 0,
  VLOOKUP(D96, 챕터!$F$4:$G$100, 2, FALSE),
  IF(
    SUM(COUNTIF($D$5:$D$571, {"Hybrid system overview","Electric vehicle guide","Infotainment system"})) &gt; 0,
    VLOOKUP(D96, 챕터!$D$4:$E$100, 2, FALSE),
    VLOOKUP(D96, 챕터!$B$4:$C$100, 2, FALSE)
  )
))</f>
        <v>Q</v>
      </c>
      <c r="K96" s="57"/>
      <c r="L96"/>
      <c r="M96"/>
      <c r="N96" s="19"/>
      <c r="O96" s="1"/>
    </row>
    <row r="97" spans="2:15">
      <c r="B97" s="55">
        <v>93</v>
      </c>
      <c r="C97" t="s">
        <v>153</v>
      </c>
      <c r="D97" s="85" t="s">
        <v>629</v>
      </c>
      <c r="E97" s="59" t="s">
        <v>1</v>
      </c>
      <c r="F97" s="32">
        <v>4500</v>
      </c>
      <c r="G97" s="56">
        <v>1</v>
      </c>
      <c r="H97" s="32">
        <v>4500</v>
      </c>
      <c r="I97" s="58" t="str">
        <f t="shared" ca="1" si="1"/>
        <v>MV1_EV_27MY_KO</v>
      </c>
      <c r="J97" s="65" t="str" cm="1">
        <f t="array" ref="J97">IF(D97="","",IF(
  COUNTIF($D$5:$D$571, "Infotainment system") &gt; 0,
  VLOOKUP(D97, 챕터!$F$4:$G$100, 2, FALSE),
  IF(
    SUM(COUNTIF($D$5:$D$571, {"Hybrid system overview","Electric vehicle guide","Infotainment system"})) &gt; 0,
    VLOOKUP(D97, 챕터!$D$4:$E$100, 2, FALSE),
    VLOOKUP(D97, 챕터!$B$4:$C$100, 2, FALSE)
  )
))</f>
        <v>Q</v>
      </c>
      <c r="K97" s="57"/>
      <c r="L97"/>
      <c r="M97"/>
      <c r="N97" s="19"/>
      <c r="O97" s="1"/>
    </row>
    <row r="98" spans="2:15">
      <c r="B98" s="55">
        <v>94</v>
      </c>
      <c r="C98" t="s">
        <v>154</v>
      </c>
      <c r="D98" s="85" t="s">
        <v>629</v>
      </c>
      <c r="E98" s="59" t="s">
        <v>1</v>
      </c>
      <c r="F98" s="32">
        <v>4500</v>
      </c>
      <c r="G98" s="56">
        <v>1</v>
      </c>
      <c r="H98" s="32">
        <v>4500</v>
      </c>
      <c r="I98" s="58" t="str">
        <f t="shared" ca="1" si="1"/>
        <v>MV1_EV_27MY_KO</v>
      </c>
      <c r="J98" s="65" t="str" cm="1">
        <f t="array" ref="J98">IF(D98="","",IF(
  COUNTIF($D$5:$D$571, "Infotainment system") &gt; 0,
  VLOOKUP(D98, 챕터!$F$4:$G$100, 2, FALSE),
  IF(
    SUM(COUNTIF($D$5:$D$571, {"Hybrid system overview","Electric vehicle guide","Infotainment system"})) &gt; 0,
    VLOOKUP(D98, 챕터!$D$4:$E$100, 2, FALSE),
    VLOOKUP(D98, 챕터!$B$4:$C$100, 2, FALSE)
  )
))</f>
        <v>Q</v>
      </c>
      <c r="K98" s="57"/>
      <c r="L98"/>
      <c r="M98"/>
      <c r="N98" s="19"/>
      <c r="O98" s="1"/>
    </row>
    <row r="99" spans="2:15">
      <c r="B99" s="55">
        <v>95</v>
      </c>
      <c r="C99" t="s">
        <v>155</v>
      </c>
      <c r="D99" s="85" t="s">
        <v>629</v>
      </c>
      <c r="E99" s="59" t="s">
        <v>1</v>
      </c>
      <c r="F99" s="32">
        <v>4500</v>
      </c>
      <c r="G99" s="56">
        <v>1</v>
      </c>
      <c r="H99" s="32">
        <v>4500</v>
      </c>
      <c r="I99" s="58" t="str">
        <f t="shared" ca="1" si="1"/>
        <v>MV1_EV_27MY_KO</v>
      </c>
      <c r="J99" s="65" t="str" cm="1">
        <f t="array" ref="J99">IF(D99="","",IF(
  COUNTIF($D$5:$D$571, "Infotainment system") &gt; 0,
  VLOOKUP(D99, 챕터!$F$4:$G$100, 2, FALSE),
  IF(
    SUM(COUNTIF($D$5:$D$571, {"Hybrid system overview","Electric vehicle guide","Infotainment system"})) &gt; 0,
    VLOOKUP(D99, 챕터!$D$4:$E$100, 2, FALSE),
    VLOOKUP(D99, 챕터!$B$4:$C$100, 2, FALSE)
  )
))</f>
        <v>Q</v>
      </c>
      <c r="K99" s="57"/>
      <c r="L99"/>
      <c r="M99"/>
      <c r="N99" s="19"/>
      <c r="O99" s="1"/>
    </row>
    <row r="100" spans="2:15">
      <c r="B100" s="55">
        <v>96</v>
      </c>
      <c r="C100" t="s">
        <v>156</v>
      </c>
      <c r="D100" s="85" t="s">
        <v>629</v>
      </c>
      <c r="E100" s="59" t="s">
        <v>1</v>
      </c>
      <c r="F100" s="32">
        <v>4500</v>
      </c>
      <c r="G100" s="56">
        <v>1</v>
      </c>
      <c r="H100" s="32">
        <v>4500</v>
      </c>
      <c r="I100" s="58" t="str">
        <f t="shared" ca="1" si="1"/>
        <v>MV1_EV_27MY_KO</v>
      </c>
      <c r="J100" s="65" t="str" cm="1">
        <f t="array" ref="J100">IF(D100="","",IF(
  COUNTIF($D$5:$D$571, "Infotainment system") &gt; 0,
  VLOOKUP(D100, 챕터!$F$4:$G$100, 2, FALSE),
  IF(
    SUM(COUNTIF($D$5:$D$571, {"Hybrid system overview","Electric vehicle guide","Infotainment system"})) &gt; 0,
    VLOOKUP(D100, 챕터!$D$4:$E$100, 2, FALSE),
    VLOOKUP(D100, 챕터!$B$4:$C$100, 2, FALSE)
  )
))</f>
        <v>Q</v>
      </c>
      <c r="K100" s="57"/>
      <c r="L100"/>
      <c r="M100"/>
      <c r="N100" s="19"/>
      <c r="O100" s="1"/>
    </row>
    <row r="101" spans="2:15">
      <c r="B101" s="55">
        <v>97</v>
      </c>
      <c r="C101" t="s">
        <v>157</v>
      </c>
      <c r="D101" s="85" t="s">
        <v>629</v>
      </c>
      <c r="E101" s="59" t="s">
        <v>1</v>
      </c>
      <c r="F101" s="32">
        <v>4500</v>
      </c>
      <c r="G101" s="56">
        <v>1</v>
      </c>
      <c r="H101" s="32">
        <v>4500</v>
      </c>
      <c r="I101" s="58" t="str">
        <f t="shared" ca="1" si="1"/>
        <v>MV1_EV_27MY_KO</v>
      </c>
      <c r="J101" s="65" t="str" cm="1">
        <f t="array" ref="J101">IF(D101="","",IF(
  COUNTIF($D$5:$D$571, "Infotainment system") &gt; 0,
  VLOOKUP(D101, 챕터!$F$4:$G$100, 2, FALSE),
  IF(
    SUM(COUNTIF($D$5:$D$571, {"Hybrid system overview","Electric vehicle guide","Infotainment system"})) &gt; 0,
    VLOOKUP(D101, 챕터!$D$4:$E$100, 2, FALSE),
    VLOOKUP(D101, 챕터!$B$4:$C$100, 2, FALSE)
  )
))</f>
        <v>Q</v>
      </c>
      <c r="K101" s="57"/>
      <c r="L101"/>
      <c r="M101"/>
      <c r="N101" s="19"/>
      <c r="O101" s="1"/>
    </row>
    <row r="102" spans="2:15">
      <c r="B102" s="55">
        <v>98</v>
      </c>
      <c r="C102" t="s">
        <v>158</v>
      </c>
      <c r="D102" s="85" t="s">
        <v>629</v>
      </c>
      <c r="E102" s="59" t="s">
        <v>1</v>
      </c>
      <c r="F102" s="32">
        <v>4500</v>
      </c>
      <c r="G102" s="56">
        <v>1</v>
      </c>
      <c r="H102" s="32">
        <v>4500</v>
      </c>
      <c r="I102" s="58" t="str">
        <f t="shared" ca="1" si="1"/>
        <v>MV1_EV_27MY_KO</v>
      </c>
      <c r="J102" s="65" t="str" cm="1">
        <f t="array" ref="J102">IF(D102="","",IF(
  COUNTIF($D$5:$D$571, "Infotainment system") &gt; 0,
  VLOOKUP(D102, 챕터!$F$4:$G$100, 2, FALSE),
  IF(
    SUM(COUNTIF($D$5:$D$571, {"Hybrid system overview","Electric vehicle guide","Infotainment system"})) &gt; 0,
    VLOOKUP(D102, 챕터!$D$4:$E$100, 2, FALSE),
    VLOOKUP(D102, 챕터!$B$4:$C$100, 2, FALSE)
  )
))</f>
        <v>Q</v>
      </c>
      <c r="K102" s="57"/>
      <c r="L102"/>
      <c r="M102"/>
      <c r="N102" s="19"/>
      <c r="O102" s="1"/>
    </row>
    <row r="103" spans="2:15">
      <c r="B103" s="55">
        <v>99</v>
      </c>
      <c r="C103" t="s">
        <v>159</v>
      </c>
      <c r="D103" s="85" t="s">
        <v>629</v>
      </c>
      <c r="E103" s="59" t="s">
        <v>1</v>
      </c>
      <c r="F103" s="32">
        <v>4500</v>
      </c>
      <c r="G103" s="56">
        <v>1</v>
      </c>
      <c r="H103" s="32">
        <v>4500</v>
      </c>
      <c r="I103" s="58" t="str">
        <f t="shared" ca="1" si="1"/>
        <v>MV1_EV_27MY_KO</v>
      </c>
      <c r="J103" s="65" t="str" cm="1">
        <f t="array" ref="J103">IF(D103="","",IF(
  COUNTIF($D$5:$D$571, "Infotainment system") &gt; 0,
  VLOOKUP(D103, 챕터!$F$4:$G$100, 2, FALSE),
  IF(
    SUM(COUNTIF($D$5:$D$571, {"Hybrid system overview","Electric vehicle guide","Infotainment system"})) &gt; 0,
    VLOOKUP(D103, 챕터!$D$4:$E$100, 2, FALSE),
    VLOOKUP(D103, 챕터!$B$4:$C$100, 2, FALSE)
  )
))</f>
        <v>Q</v>
      </c>
      <c r="K103" s="57"/>
      <c r="L103"/>
      <c r="M103"/>
      <c r="N103" s="19"/>
      <c r="O103" s="1"/>
    </row>
    <row r="104" spans="2:15">
      <c r="B104" s="55">
        <v>100</v>
      </c>
      <c r="C104" t="s">
        <v>160</v>
      </c>
      <c r="D104" s="85" t="s">
        <v>629</v>
      </c>
      <c r="E104" s="59" t="s">
        <v>1</v>
      </c>
      <c r="F104" s="32">
        <v>4500</v>
      </c>
      <c r="G104" s="56">
        <v>1</v>
      </c>
      <c r="H104" s="32">
        <v>4500</v>
      </c>
      <c r="I104" s="58" t="str">
        <f t="shared" ca="1" si="1"/>
        <v>MV1_EV_27MY_KO</v>
      </c>
      <c r="J104" s="65" t="str" cm="1">
        <f t="array" ref="J104">IF(D104="","",IF(
  COUNTIF($D$5:$D$571, "Infotainment system") &gt; 0,
  VLOOKUP(D104, 챕터!$F$4:$G$100, 2, FALSE),
  IF(
    SUM(COUNTIF($D$5:$D$571, {"Hybrid system overview","Electric vehicle guide","Infotainment system"})) &gt; 0,
    VLOOKUP(D104, 챕터!$D$4:$E$100, 2, FALSE),
    VLOOKUP(D104, 챕터!$B$4:$C$100, 2, FALSE)
  )
))</f>
        <v>Q</v>
      </c>
      <c r="K104" s="57"/>
      <c r="L104"/>
      <c r="M104"/>
      <c r="N104" s="19"/>
      <c r="O104" s="1"/>
    </row>
    <row r="105" spans="2:15">
      <c r="B105" s="55">
        <v>101</v>
      </c>
      <c r="C105" t="s">
        <v>161</v>
      </c>
      <c r="D105" s="85" t="s">
        <v>629</v>
      </c>
      <c r="E105" s="59" t="s">
        <v>1</v>
      </c>
      <c r="F105" s="32">
        <v>4500</v>
      </c>
      <c r="G105" s="56">
        <v>1</v>
      </c>
      <c r="H105" s="32">
        <v>4500</v>
      </c>
      <c r="I105" s="58" t="str">
        <f t="shared" ca="1" si="1"/>
        <v>MV1_EV_27MY_KO</v>
      </c>
      <c r="J105" s="65" t="str" cm="1">
        <f t="array" ref="J105">IF(D105="","",IF(
  COUNTIF($D$5:$D$571, "Infotainment system") &gt; 0,
  VLOOKUP(D105, 챕터!$F$4:$G$100, 2, FALSE),
  IF(
    SUM(COUNTIF($D$5:$D$571, {"Hybrid system overview","Electric vehicle guide","Infotainment system"})) &gt; 0,
    VLOOKUP(D105, 챕터!$D$4:$E$100, 2, FALSE),
    VLOOKUP(D105, 챕터!$B$4:$C$100, 2, FALSE)
  )
))</f>
        <v>Q</v>
      </c>
      <c r="K105" s="57"/>
      <c r="L105"/>
      <c r="M105"/>
      <c r="N105" s="19"/>
      <c r="O105" s="1"/>
    </row>
    <row r="106" spans="2:15">
      <c r="B106" s="55">
        <v>102</v>
      </c>
      <c r="C106" t="s">
        <v>162</v>
      </c>
      <c r="D106" s="85" t="s">
        <v>629</v>
      </c>
      <c r="E106" s="59" t="s">
        <v>1</v>
      </c>
      <c r="F106" s="32">
        <v>4500</v>
      </c>
      <c r="G106" s="56">
        <v>1</v>
      </c>
      <c r="H106" s="32">
        <v>4500</v>
      </c>
      <c r="I106" s="58" t="str">
        <f t="shared" ca="1" si="1"/>
        <v>MV1_EV_27MY_KO</v>
      </c>
      <c r="J106" s="65" t="str" cm="1">
        <f t="array" ref="J106">IF(D106="","",IF(
  COUNTIF($D$5:$D$571, "Infotainment system") &gt; 0,
  VLOOKUP(D106, 챕터!$F$4:$G$100, 2, FALSE),
  IF(
    SUM(COUNTIF($D$5:$D$571, {"Hybrid system overview","Electric vehicle guide","Infotainment system"})) &gt; 0,
    VLOOKUP(D106, 챕터!$D$4:$E$100, 2, FALSE),
    VLOOKUP(D106, 챕터!$B$4:$C$100, 2, FALSE)
  )
))</f>
        <v>Q</v>
      </c>
      <c r="K106" s="57"/>
      <c r="L106"/>
      <c r="M106"/>
      <c r="N106" s="19"/>
      <c r="O106" s="1"/>
    </row>
    <row r="107" spans="2:15">
      <c r="B107" s="55">
        <v>103</v>
      </c>
      <c r="C107" t="s">
        <v>163</v>
      </c>
      <c r="D107" s="85" t="s">
        <v>629</v>
      </c>
      <c r="E107" s="59" t="s">
        <v>1</v>
      </c>
      <c r="F107" s="32">
        <v>4500</v>
      </c>
      <c r="G107" s="56">
        <v>1</v>
      </c>
      <c r="H107" s="32">
        <v>4500</v>
      </c>
      <c r="I107" s="58" t="str">
        <f t="shared" ca="1" si="1"/>
        <v>MV1_EV_27MY_KO</v>
      </c>
      <c r="J107" s="65" t="str" cm="1">
        <f t="array" ref="J107">IF(D107="","",IF(
  COUNTIF($D$5:$D$571, "Infotainment system") &gt; 0,
  VLOOKUP(D107, 챕터!$F$4:$G$100, 2, FALSE),
  IF(
    SUM(COUNTIF($D$5:$D$571, {"Hybrid system overview","Electric vehicle guide","Infotainment system"})) &gt; 0,
    VLOOKUP(D107, 챕터!$D$4:$E$100, 2, FALSE),
    VLOOKUP(D107, 챕터!$B$4:$C$100, 2, FALSE)
  )
))</f>
        <v>Q</v>
      </c>
      <c r="K107" s="57"/>
      <c r="L107"/>
      <c r="M107"/>
      <c r="N107" s="19"/>
      <c r="O107" s="1"/>
    </row>
    <row r="108" spans="2:15">
      <c r="B108" s="55">
        <v>104</v>
      </c>
      <c r="C108" t="s">
        <v>164</v>
      </c>
      <c r="D108" s="85" t="s">
        <v>629</v>
      </c>
      <c r="E108" s="59" t="s">
        <v>1</v>
      </c>
      <c r="F108" s="32">
        <v>4500</v>
      </c>
      <c r="G108" s="56">
        <v>1</v>
      </c>
      <c r="H108" s="32">
        <v>4500</v>
      </c>
      <c r="I108" s="58" t="str">
        <f t="shared" ca="1" si="1"/>
        <v>MV1_EV_27MY_KO</v>
      </c>
      <c r="J108" s="65" t="str" cm="1">
        <f t="array" ref="J108">IF(D108="","",IF(
  COUNTIF($D$5:$D$571, "Infotainment system") &gt; 0,
  VLOOKUP(D108, 챕터!$F$4:$G$100, 2, FALSE),
  IF(
    SUM(COUNTIF($D$5:$D$571, {"Hybrid system overview","Electric vehicle guide","Infotainment system"})) &gt; 0,
    VLOOKUP(D108, 챕터!$D$4:$E$100, 2, FALSE),
    VLOOKUP(D108, 챕터!$B$4:$C$100, 2, FALSE)
  )
))</f>
        <v>Q</v>
      </c>
      <c r="K108" s="57"/>
      <c r="L108"/>
      <c r="M108"/>
      <c r="N108" s="19"/>
      <c r="O108" s="1"/>
    </row>
    <row r="109" spans="2:15">
      <c r="B109" s="55">
        <v>105</v>
      </c>
      <c r="C109" t="s">
        <v>165</v>
      </c>
      <c r="D109" s="85" t="s">
        <v>629</v>
      </c>
      <c r="E109" s="59" t="s">
        <v>1</v>
      </c>
      <c r="F109" s="32">
        <v>4500</v>
      </c>
      <c r="G109" s="56">
        <v>1</v>
      </c>
      <c r="H109" s="32">
        <v>4500</v>
      </c>
      <c r="I109" s="58" t="str">
        <f t="shared" ca="1" si="1"/>
        <v>MV1_EV_27MY_KO</v>
      </c>
      <c r="J109" s="65" t="str" cm="1">
        <f t="array" ref="J109">IF(D109="","",IF(
  COUNTIF($D$5:$D$571, "Infotainment system") &gt; 0,
  VLOOKUP(D109, 챕터!$F$4:$G$100, 2, FALSE),
  IF(
    SUM(COUNTIF($D$5:$D$571, {"Hybrid system overview","Electric vehicle guide","Infotainment system"})) &gt; 0,
    VLOOKUP(D109, 챕터!$D$4:$E$100, 2, FALSE),
    VLOOKUP(D109, 챕터!$B$4:$C$100, 2, FALSE)
  )
))</f>
        <v>Q</v>
      </c>
      <c r="K109" s="57"/>
      <c r="L109"/>
      <c r="M109"/>
      <c r="N109" s="19"/>
      <c r="O109" s="1"/>
    </row>
    <row r="110" spans="2:15">
      <c r="B110" s="55">
        <v>106</v>
      </c>
      <c r="C110" t="s">
        <v>166</v>
      </c>
      <c r="D110" s="85" t="s">
        <v>629</v>
      </c>
      <c r="E110" s="59" t="s">
        <v>1</v>
      </c>
      <c r="F110" s="32">
        <v>4500</v>
      </c>
      <c r="G110" s="56">
        <v>1</v>
      </c>
      <c r="H110" s="32">
        <v>4500</v>
      </c>
      <c r="I110" s="58" t="str">
        <f t="shared" ca="1" si="1"/>
        <v>MV1_EV_27MY_KO</v>
      </c>
      <c r="J110" s="65" t="str" cm="1">
        <f t="array" ref="J110">IF(D110="","",IF(
  COUNTIF($D$5:$D$571, "Infotainment system") &gt; 0,
  VLOOKUP(D110, 챕터!$F$4:$G$100, 2, FALSE),
  IF(
    SUM(COUNTIF($D$5:$D$571, {"Hybrid system overview","Electric vehicle guide","Infotainment system"})) &gt; 0,
    VLOOKUP(D110, 챕터!$D$4:$E$100, 2, FALSE),
    VLOOKUP(D110, 챕터!$B$4:$C$100, 2, FALSE)
  )
))</f>
        <v>Q</v>
      </c>
      <c r="K110" s="57"/>
      <c r="L110"/>
      <c r="M110"/>
      <c r="N110" s="19"/>
      <c r="O110" s="1"/>
    </row>
    <row r="111" spans="2:15">
      <c r="B111" s="55">
        <v>107</v>
      </c>
      <c r="C111" t="s">
        <v>167</v>
      </c>
      <c r="D111" s="85" t="s">
        <v>629</v>
      </c>
      <c r="E111" s="59" t="s">
        <v>1</v>
      </c>
      <c r="F111" s="32">
        <v>4500</v>
      </c>
      <c r="G111" s="56">
        <v>1</v>
      </c>
      <c r="H111" s="32">
        <v>4500</v>
      </c>
      <c r="I111" s="58" t="str">
        <f t="shared" ca="1" si="1"/>
        <v>MV1_EV_27MY_KO</v>
      </c>
      <c r="J111" s="65" t="str" cm="1">
        <f t="array" ref="J111">IF(D111="","",IF(
  COUNTIF($D$5:$D$571, "Infotainment system") &gt; 0,
  VLOOKUP(D111, 챕터!$F$4:$G$100, 2, FALSE),
  IF(
    SUM(COUNTIF($D$5:$D$571, {"Hybrid system overview","Electric vehicle guide","Infotainment system"})) &gt; 0,
    VLOOKUP(D111, 챕터!$D$4:$E$100, 2, FALSE),
    VLOOKUP(D111, 챕터!$B$4:$C$100, 2, FALSE)
  )
))</f>
        <v>Q</v>
      </c>
      <c r="K111" s="57"/>
      <c r="L111"/>
      <c r="M111"/>
      <c r="N111" s="19"/>
      <c r="O111" s="1"/>
    </row>
    <row r="112" spans="2:15">
      <c r="B112" s="55">
        <v>108</v>
      </c>
      <c r="C112" t="s">
        <v>168</v>
      </c>
      <c r="D112" s="85" t="s">
        <v>629</v>
      </c>
      <c r="E112" s="59" t="s">
        <v>1</v>
      </c>
      <c r="F112" s="32">
        <v>4500</v>
      </c>
      <c r="G112" s="56">
        <v>1</v>
      </c>
      <c r="H112" s="32">
        <v>4500</v>
      </c>
      <c r="I112" s="58" t="str">
        <f t="shared" ca="1" si="1"/>
        <v>MV1_EV_27MY_KO</v>
      </c>
      <c r="J112" s="65" t="str" cm="1">
        <f t="array" ref="J112">IF(D112="","",IF(
  COUNTIF($D$5:$D$571, "Infotainment system") &gt; 0,
  VLOOKUP(D112, 챕터!$F$4:$G$100, 2, FALSE),
  IF(
    SUM(COUNTIF($D$5:$D$571, {"Hybrid system overview","Electric vehicle guide","Infotainment system"})) &gt; 0,
    VLOOKUP(D112, 챕터!$D$4:$E$100, 2, FALSE),
    VLOOKUP(D112, 챕터!$B$4:$C$100, 2, FALSE)
  )
))</f>
        <v>Q</v>
      </c>
      <c r="K112" s="57"/>
      <c r="L112"/>
      <c r="M112"/>
      <c r="N112" s="19"/>
      <c r="O112" s="1"/>
    </row>
    <row r="113" spans="2:15">
      <c r="B113" s="55">
        <v>109</v>
      </c>
      <c r="C113" t="s">
        <v>169</v>
      </c>
      <c r="D113" s="85" t="s">
        <v>629</v>
      </c>
      <c r="E113" s="59" t="s">
        <v>1</v>
      </c>
      <c r="F113" s="32">
        <v>4500</v>
      </c>
      <c r="G113" s="56">
        <v>1</v>
      </c>
      <c r="H113" s="32">
        <v>4500</v>
      </c>
      <c r="I113" s="58" t="str">
        <f t="shared" ca="1" si="1"/>
        <v>MV1_EV_27MY_KO</v>
      </c>
      <c r="J113" s="65" t="str" cm="1">
        <f t="array" ref="J113">IF(D113="","",IF(
  COUNTIF($D$5:$D$571, "Infotainment system") &gt; 0,
  VLOOKUP(D113, 챕터!$F$4:$G$100, 2, FALSE),
  IF(
    SUM(COUNTIF($D$5:$D$571, {"Hybrid system overview","Electric vehicle guide","Infotainment system"})) &gt; 0,
    VLOOKUP(D113, 챕터!$D$4:$E$100, 2, FALSE),
    VLOOKUP(D113, 챕터!$B$4:$C$100, 2, FALSE)
  )
))</f>
        <v>Q</v>
      </c>
      <c r="K113" s="57"/>
      <c r="L113"/>
      <c r="M113"/>
      <c r="N113" s="19"/>
      <c r="O113" s="1"/>
    </row>
    <row r="114" spans="2:15">
      <c r="B114" s="55">
        <v>110</v>
      </c>
      <c r="C114" t="s">
        <v>170</v>
      </c>
      <c r="D114" s="85" t="s">
        <v>629</v>
      </c>
      <c r="E114" s="59" t="s">
        <v>1</v>
      </c>
      <c r="F114" s="32">
        <v>4500</v>
      </c>
      <c r="G114" s="56">
        <v>1</v>
      </c>
      <c r="H114" s="32">
        <v>4500</v>
      </c>
      <c r="I114" s="58" t="str">
        <f t="shared" ca="1" si="1"/>
        <v>MV1_EV_27MY_KO</v>
      </c>
      <c r="J114" s="65" t="str" cm="1">
        <f t="array" ref="J114">IF(D114="","",IF(
  COUNTIF($D$5:$D$571, "Infotainment system") &gt; 0,
  VLOOKUP(D114, 챕터!$F$4:$G$100, 2, FALSE),
  IF(
    SUM(COUNTIF($D$5:$D$571, {"Hybrid system overview","Electric vehicle guide","Infotainment system"})) &gt; 0,
    VLOOKUP(D114, 챕터!$D$4:$E$100, 2, FALSE),
    VLOOKUP(D114, 챕터!$B$4:$C$100, 2, FALSE)
  )
))</f>
        <v>Q</v>
      </c>
      <c r="K114" s="57"/>
      <c r="L114"/>
      <c r="M114"/>
      <c r="N114" s="19"/>
      <c r="O114" s="1"/>
    </row>
    <row r="115" spans="2:15">
      <c r="B115" s="55">
        <v>111</v>
      </c>
      <c r="C115" t="s">
        <v>171</v>
      </c>
      <c r="D115" s="85" t="s">
        <v>629</v>
      </c>
      <c r="E115" s="59" t="s">
        <v>1</v>
      </c>
      <c r="F115" s="32">
        <v>4500</v>
      </c>
      <c r="G115" s="56">
        <v>1</v>
      </c>
      <c r="H115" s="32">
        <v>4500</v>
      </c>
      <c r="I115" s="58" t="str">
        <f t="shared" ca="1" si="1"/>
        <v>MV1_EV_27MY_KO</v>
      </c>
      <c r="J115" s="65" t="str" cm="1">
        <f t="array" ref="J115">IF(D115="","",IF(
  COUNTIF($D$5:$D$571, "Infotainment system") &gt; 0,
  VLOOKUP(D115, 챕터!$F$4:$G$100, 2, FALSE),
  IF(
    SUM(COUNTIF($D$5:$D$571, {"Hybrid system overview","Electric vehicle guide","Infotainment system"})) &gt; 0,
    VLOOKUP(D115, 챕터!$D$4:$E$100, 2, FALSE),
    VLOOKUP(D115, 챕터!$B$4:$C$100, 2, FALSE)
  )
))</f>
        <v>Q</v>
      </c>
      <c r="K115" s="57"/>
      <c r="L115"/>
      <c r="M115"/>
      <c r="N115" s="19"/>
      <c r="O115" s="1"/>
    </row>
    <row r="116" spans="2:15">
      <c r="B116" s="55">
        <v>112</v>
      </c>
      <c r="C116" t="s">
        <v>172</v>
      </c>
      <c r="D116" s="85" t="s">
        <v>629</v>
      </c>
      <c r="E116" s="59" t="s">
        <v>1</v>
      </c>
      <c r="F116" s="32">
        <v>4500</v>
      </c>
      <c r="G116" s="56">
        <v>1</v>
      </c>
      <c r="H116" s="32">
        <v>4500</v>
      </c>
      <c r="I116" s="58" t="str">
        <f t="shared" ca="1" si="1"/>
        <v>MV1_EV_27MY_KO</v>
      </c>
      <c r="J116" s="65" t="str" cm="1">
        <f t="array" ref="J116">IF(D116="","",IF(
  COUNTIF($D$5:$D$571, "Infotainment system") &gt; 0,
  VLOOKUP(D116, 챕터!$F$4:$G$100, 2, FALSE),
  IF(
    SUM(COUNTIF($D$5:$D$571, {"Hybrid system overview","Electric vehicle guide","Infotainment system"})) &gt; 0,
    VLOOKUP(D116, 챕터!$D$4:$E$100, 2, FALSE),
    VLOOKUP(D116, 챕터!$B$4:$C$100, 2, FALSE)
  )
))</f>
        <v>Q</v>
      </c>
      <c r="K116" s="57"/>
      <c r="L116"/>
      <c r="M116"/>
      <c r="N116" s="19"/>
      <c r="O116" s="1"/>
    </row>
    <row r="117" spans="2:15">
      <c r="B117" s="55">
        <v>113</v>
      </c>
      <c r="C117" t="s">
        <v>173</v>
      </c>
      <c r="D117" s="85" t="s">
        <v>629</v>
      </c>
      <c r="E117" s="59" t="s">
        <v>1</v>
      </c>
      <c r="F117" s="32">
        <v>4500</v>
      </c>
      <c r="G117" s="56">
        <v>1</v>
      </c>
      <c r="H117" s="32">
        <v>4500</v>
      </c>
      <c r="I117" s="58" t="str">
        <f t="shared" ca="1" si="1"/>
        <v>MV1_EV_27MY_KO</v>
      </c>
      <c r="J117" s="65" t="str" cm="1">
        <f t="array" ref="J117">IF(D117="","",IF(
  COUNTIF($D$5:$D$571, "Infotainment system") &gt; 0,
  VLOOKUP(D117, 챕터!$F$4:$G$100, 2, FALSE),
  IF(
    SUM(COUNTIF($D$5:$D$571, {"Hybrid system overview","Electric vehicle guide","Infotainment system"})) &gt; 0,
    VLOOKUP(D117, 챕터!$D$4:$E$100, 2, FALSE),
    VLOOKUP(D117, 챕터!$B$4:$C$100, 2, FALSE)
  )
))</f>
        <v>Q</v>
      </c>
      <c r="K117" s="57"/>
      <c r="L117"/>
      <c r="M117"/>
      <c r="N117" s="19"/>
      <c r="O117" s="1"/>
    </row>
    <row r="118" spans="2:15">
      <c r="B118" s="55">
        <v>114</v>
      </c>
      <c r="C118" t="s">
        <v>174</v>
      </c>
      <c r="D118" s="85" t="s">
        <v>629</v>
      </c>
      <c r="E118" s="59" t="s">
        <v>1</v>
      </c>
      <c r="F118" s="32">
        <v>4500</v>
      </c>
      <c r="G118" s="56">
        <v>1</v>
      </c>
      <c r="H118" s="32">
        <v>4500</v>
      </c>
      <c r="I118" s="58" t="str">
        <f t="shared" ca="1" si="1"/>
        <v>MV1_EV_27MY_KO</v>
      </c>
      <c r="J118" s="65" t="str" cm="1">
        <f t="array" ref="J118">IF(D118="","",IF(
  COUNTIF($D$5:$D$571, "Infotainment system") &gt; 0,
  VLOOKUP(D118, 챕터!$F$4:$G$100, 2, FALSE),
  IF(
    SUM(COUNTIF($D$5:$D$571, {"Hybrid system overview","Electric vehicle guide","Infotainment system"})) &gt; 0,
    VLOOKUP(D118, 챕터!$D$4:$E$100, 2, FALSE),
    VLOOKUP(D118, 챕터!$B$4:$C$100, 2, FALSE)
  )
))</f>
        <v>Q</v>
      </c>
      <c r="K118" s="57"/>
      <c r="L118"/>
      <c r="M118"/>
      <c r="N118" s="19"/>
      <c r="O118" s="1"/>
    </row>
    <row r="119" spans="2:15">
      <c r="B119" s="55">
        <v>115</v>
      </c>
      <c r="C119" t="s">
        <v>175</v>
      </c>
      <c r="D119" s="85" t="s">
        <v>629</v>
      </c>
      <c r="E119" s="59" t="s">
        <v>1</v>
      </c>
      <c r="F119" s="32">
        <v>4500</v>
      </c>
      <c r="G119" s="56">
        <v>1</v>
      </c>
      <c r="H119" s="32">
        <v>4500</v>
      </c>
      <c r="I119" s="58" t="str">
        <f t="shared" ca="1" si="1"/>
        <v>MV1_EV_27MY_KO</v>
      </c>
      <c r="J119" s="65" t="str" cm="1">
        <f t="array" ref="J119">IF(D119="","",IF(
  COUNTIF($D$5:$D$571, "Infotainment system") &gt; 0,
  VLOOKUP(D119, 챕터!$F$4:$G$100, 2, FALSE),
  IF(
    SUM(COUNTIF($D$5:$D$571, {"Hybrid system overview","Electric vehicle guide","Infotainment system"})) &gt; 0,
    VLOOKUP(D119, 챕터!$D$4:$E$100, 2, FALSE),
    VLOOKUP(D119, 챕터!$B$4:$C$100, 2, FALSE)
  )
))</f>
        <v>Q</v>
      </c>
      <c r="K119" s="57"/>
      <c r="L119"/>
      <c r="M119"/>
      <c r="N119" s="19"/>
      <c r="O119" s="1"/>
    </row>
    <row r="120" spans="2:15">
      <c r="B120" s="55">
        <v>116</v>
      </c>
      <c r="C120" t="s">
        <v>176</v>
      </c>
      <c r="D120" s="85" t="s">
        <v>629</v>
      </c>
      <c r="E120" s="59" t="s">
        <v>1</v>
      </c>
      <c r="F120" s="32">
        <v>4500</v>
      </c>
      <c r="G120" s="56">
        <v>1</v>
      </c>
      <c r="H120" s="32">
        <v>4500</v>
      </c>
      <c r="I120" s="58" t="str">
        <f t="shared" ca="1" si="1"/>
        <v>MV1_EV_27MY_KO</v>
      </c>
      <c r="J120" s="65" t="str" cm="1">
        <f t="array" ref="J120">IF(D120="","",IF(
  COUNTIF($D$5:$D$571, "Infotainment system") &gt; 0,
  VLOOKUP(D120, 챕터!$F$4:$G$100, 2, FALSE),
  IF(
    SUM(COUNTIF($D$5:$D$571, {"Hybrid system overview","Electric vehicle guide","Infotainment system"})) &gt; 0,
    VLOOKUP(D120, 챕터!$D$4:$E$100, 2, FALSE),
    VLOOKUP(D120, 챕터!$B$4:$C$100, 2, FALSE)
  )
))</f>
        <v>Q</v>
      </c>
      <c r="K120" s="57"/>
      <c r="L120"/>
      <c r="M120"/>
      <c r="N120" s="19"/>
      <c r="O120" s="1"/>
    </row>
    <row r="121" spans="2:15">
      <c r="B121" s="55">
        <v>117</v>
      </c>
      <c r="C121" t="s">
        <v>177</v>
      </c>
      <c r="D121" s="85" t="s">
        <v>629</v>
      </c>
      <c r="E121" s="59" t="s">
        <v>1</v>
      </c>
      <c r="F121" s="32">
        <v>4500</v>
      </c>
      <c r="G121" s="56">
        <v>1</v>
      </c>
      <c r="H121" s="32">
        <v>4500</v>
      </c>
      <c r="I121" s="58" t="str">
        <f t="shared" ca="1" si="1"/>
        <v>MV1_EV_27MY_KO</v>
      </c>
      <c r="J121" s="65" t="str" cm="1">
        <f t="array" ref="J121">IF(D121="","",IF(
  COUNTIF($D$5:$D$571, "Infotainment system") &gt; 0,
  VLOOKUP(D121, 챕터!$F$4:$G$100, 2, FALSE),
  IF(
    SUM(COUNTIF($D$5:$D$571, {"Hybrid system overview","Electric vehicle guide","Infotainment system"})) &gt; 0,
    VLOOKUP(D121, 챕터!$D$4:$E$100, 2, FALSE),
    VLOOKUP(D121, 챕터!$B$4:$C$100, 2, FALSE)
  )
))</f>
        <v>Q</v>
      </c>
      <c r="K121" s="57"/>
      <c r="L121"/>
      <c r="M121"/>
      <c r="N121" s="19"/>
      <c r="O121" s="1"/>
    </row>
    <row r="122" spans="2:15">
      <c r="B122" s="55">
        <v>118</v>
      </c>
      <c r="C122" t="s">
        <v>178</v>
      </c>
      <c r="D122" s="85" t="s">
        <v>629</v>
      </c>
      <c r="E122" s="59" t="s">
        <v>1</v>
      </c>
      <c r="F122" s="32">
        <v>4500</v>
      </c>
      <c r="G122" s="56">
        <v>1</v>
      </c>
      <c r="H122" s="32">
        <v>4500</v>
      </c>
      <c r="I122" s="58" t="str">
        <f t="shared" ca="1" si="1"/>
        <v>MV1_EV_27MY_KO</v>
      </c>
      <c r="J122" s="65" t="str" cm="1">
        <f t="array" ref="J122">IF(D122="","",IF(
  COUNTIF($D$5:$D$571, "Infotainment system") &gt; 0,
  VLOOKUP(D122, 챕터!$F$4:$G$100, 2, FALSE),
  IF(
    SUM(COUNTIF($D$5:$D$571, {"Hybrid system overview","Electric vehicle guide","Infotainment system"})) &gt; 0,
    VLOOKUP(D122, 챕터!$D$4:$E$100, 2, FALSE),
    VLOOKUP(D122, 챕터!$B$4:$C$100, 2, FALSE)
  )
))</f>
        <v>Q</v>
      </c>
      <c r="K122" s="57"/>
      <c r="L122"/>
      <c r="M122"/>
      <c r="N122" s="19"/>
      <c r="O122" s="1"/>
    </row>
    <row r="123" spans="2:15">
      <c r="B123" s="55">
        <v>119</v>
      </c>
      <c r="C123" t="s">
        <v>179</v>
      </c>
      <c r="D123" s="85" t="s">
        <v>629</v>
      </c>
      <c r="E123" s="59" t="s">
        <v>1</v>
      </c>
      <c r="F123" s="32">
        <v>4500</v>
      </c>
      <c r="G123" s="56">
        <v>1</v>
      </c>
      <c r="H123" s="32">
        <v>4500</v>
      </c>
      <c r="I123" s="58" t="str">
        <f t="shared" ca="1" si="1"/>
        <v>MV1_EV_27MY_KO</v>
      </c>
      <c r="J123" s="65" t="str" cm="1">
        <f t="array" ref="J123">IF(D123="","",IF(
  COUNTIF($D$5:$D$571, "Infotainment system") &gt; 0,
  VLOOKUP(D123, 챕터!$F$4:$G$100, 2, FALSE),
  IF(
    SUM(COUNTIF($D$5:$D$571, {"Hybrid system overview","Electric vehicle guide","Infotainment system"})) &gt; 0,
    VLOOKUP(D123, 챕터!$D$4:$E$100, 2, FALSE),
    VLOOKUP(D123, 챕터!$B$4:$C$100, 2, FALSE)
  )
))</f>
        <v>Q</v>
      </c>
      <c r="K123" s="57"/>
      <c r="L123"/>
      <c r="M123"/>
      <c r="N123" s="19"/>
      <c r="O123" s="1"/>
    </row>
    <row r="124" spans="2:15">
      <c r="B124" s="55">
        <v>120</v>
      </c>
      <c r="C124" t="s">
        <v>180</v>
      </c>
      <c r="D124" s="85" t="s">
        <v>629</v>
      </c>
      <c r="E124" s="59" t="s">
        <v>1</v>
      </c>
      <c r="F124" s="32">
        <v>4500</v>
      </c>
      <c r="G124" s="56">
        <v>1</v>
      </c>
      <c r="H124" s="32">
        <v>4500</v>
      </c>
      <c r="I124" s="58" t="str">
        <f t="shared" ca="1" si="1"/>
        <v>MV1_EV_27MY_KO</v>
      </c>
      <c r="J124" s="65" t="str" cm="1">
        <f t="array" ref="J124">IF(D124="","",IF(
  COUNTIF($D$5:$D$571, "Infotainment system") &gt; 0,
  VLOOKUP(D124, 챕터!$F$4:$G$100, 2, FALSE),
  IF(
    SUM(COUNTIF($D$5:$D$571, {"Hybrid system overview","Electric vehicle guide","Infotainment system"})) &gt; 0,
    VLOOKUP(D124, 챕터!$D$4:$E$100, 2, FALSE),
    VLOOKUP(D124, 챕터!$B$4:$C$100, 2, FALSE)
  )
))</f>
        <v>Q</v>
      </c>
      <c r="K124" s="57"/>
      <c r="L124"/>
      <c r="M124"/>
      <c r="N124" s="19"/>
      <c r="O124" s="1"/>
    </row>
    <row r="125" spans="2:15">
      <c r="B125" s="55">
        <v>121</v>
      </c>
      <c r="C125" t="s">
        <v>181</v>
      </c>
      <c r="D125" s="85" t="s">
        <v>629</v>
      </c>
      <c r="E125" s="59" t="s">
        <v>1</v>
      </c>
      <c r="F125" s="32">
        <v>4500</v>
      </c>
      <c r="G125" s="56">
        <v>1</v>
      </c>
      <c r="H125" s="32">
        <v>4500</v>
      </c>
      <c r="I125" s="58" t="str">
        <f t="shared" ca="1" si="1"/>
        <v>MV1_EV_27MY_KO</v>
      </c>
      <c r="J125" s="65" t="str" cm="1">
        <f t="array" ref="J125">IF(D125="","",IF(
  COUNTIF($D$5:$D$571, "Infotainment system") &gt; 0,
  VLOOKUP(D125, 챕터!$F$4:$G$100, 2, FALSE),
  IF(
    SUM(COUNTIF($D$5:$D$571, {"Hybrid system overview","Electric vehicle guide","Infotainment system"})) &gt; 0,
    VLOOKUP(D125, 챕터!$D$4:$E$100, 2, FALSE),
    VLOOKUP(D125, 챕터!$B$4:$C$100, 2, FALSE)
  )
))</f>
        <v>Q</v>
      </c>
      <c r="K125" s="57"/>
      <c r="L125"/>
      <c r="M125"/>
      <c r="N125" s="19"/>
      <c r="O125" s="1"/>
    </row>
    <row r="126" spans="2:15">
      <c r="B126" s="55">
        <v>122</v>
      </c>
      <c r="C126" t="s">
        <v>182</v>
      </c>
      <c r="D126" s="85" t="s">
        <v>629</v>
      </c>
      <c r="E126" s="59" t="s">
        <v>1</v>
      </c>
      <c r="F126" s="32">
        <v>4500</v>
      </c>
      <c r="G126" s="56">
        <v>1</v>
      </c>
      <c r="H126" s="32">
        <v>4500</v>
      </c>
      <c r="I126" s="58" t="str">
        <f t="shared" ca="1" si="1"/>
        <v>MV1_EV_27MY_KO</v>
      </c>
      <c r="J126" s="65" t="str" cm="1">
        <f t="array" ref="J126">IF(D126="","",IF(
  COUNTIF($D$5:$D$571, "Infotainment system") &gt; 0,
  VLOOKUP(D126, 챕터!$F$4:$G$100, 2, FALSE),
  IF(
    SUM(COUNTIF($D$5:$D$571, {"Hybrid system overview","Electric vehicle guide","Infotainment system"})) &gt; 0,
    VLOOKUP(D126, 챕터!$D$4:$E$100, 2, FALSE),
    VLOOKUP(D126, 챕터!$B$4:$C$100, 2, FALSE)
  )
))</f>
        <v>Q</v>
      </c>
      <c r="K126" s="57"/>
      <c r="L126"/>
      <c r="M126"/>
      <c r="N126" s="19"/>
      <c r="O126" s="1"/>
    </row>
    <row r="127" spans="2:15">
      <c r="B127" s="55">
        <v>123</v>
      </c>
      <c r="C127" t="s">
        <v>183</v>
      </c>
      <c r="D127" s="85" t="s">
        <v>629</v>
      </c>
      <c r="E127" s="59" t="s">
        <v>1</v>
      </c>
      <c r="F127" s="32">
        <v>4500</v>
      </c>
      <c r="G127" s="56">
        <v>1</v>
      </c>
      <c r="H127" s="32">
        <v>4500</v>
      </c>
      <c r="I127" s="58" t="str">
        <f t="shared" ca="1" si="1"/>
        <v>MV1_EV_27MY_KO</v>
      </c>
      <c r="J127" s="65" t="str" cm="1">
        <f t="array" ref="J127">IF(D127="","",IF(
  COUNTIF($D$5:$D$571, "Infotainment system") &gt; 0,
  VLOOKUP(D127, 챕터!$F$4:$G$100, 2, FALSE),
  IF(
    SUM(COUNTIF($D$5:$D$571, {"Hybrid system overview","Electric vehicle guide","Infotainment system"})) &gt; 0,
    VLOOKUP(D127, 챕터!$D$4:$E$100, 2, FALSE),
    VLOOKUP(D127, 챕터!$B$4:$C$100, 2, FALSE)
  )
))</f>
        <v>Q</v>
      </c>
      <c r="K127" s="57"/>
      <c r="L127"/>
      <c r="M127"/>
      <c r="N127" s="19"/>
      <c r="O127" s="1"/>
    </row>
    <row r="128" spans="2:15">
      <c r="B128" s="55">
        <v>124</v>
      </c>
      <c r="C128" t="s">
        <v>184</v>
      </c>
      <c r="D128" s="85" t="s">
        <v>629</v>
      </c>
      <c r="E128" s="59" t="s">
        <v>1</v>
      </c>
      <c r="F128" s="32">
        <v>4500</v>
      </c>
      <c r="G128" s="56">
        <v>1</v>
      </c>
      <c r="H128" s="32">
        <v>4500</v>
      </c>
      <c r="I128" s="58" t="str">
        <f t="shared" ca="1" si="1"/>
        <v>MV1_EV_27MY_KO</v>
      </c>
      <c r="J128" s="65" t="str" cm="1">
        <f t="array" ref="J128">IF(D128="","",IF(
  COUNTIF($D$5:$D$571, "Infotainment system") &gt; 0,
  VLOOKUP(D128, 챕터!$F$4:$G$100, 2, FALSE),
  IF(
    SUM(COUNTIF($D$5:$D$571, {"Hybrid system overview","Electric vehicle guide","Infotainment system"})) &gt; 0,
    VLOOKUP(D128, 챕터!$D$4:$E$100, 2, FALSE),
    VLOOKUP(D128, 챕터!$B$4:$C$100, 2, FALSE)
  )
))</f>
        <v>Q</v>
      </c>
      <c r="K128" s="57"/>
      <c r="L128"/>
      <c r="M128"/>
      <c r="N128" s="19"/>
      <c r="O128" s="1"/>
    </row>
    <row r="129" spans="2:15">
      <c r="B129" s="55">
        <v>125</v>
      </c>
      <c r="C129" t="s">
        <v>185</v>
      </c>
      <c r="D129" s="85" t="s">
        <v>629</v>
      </c>
      <c r="E129" s="59" t="s">
        <v>1</v>
      </c>
      <c r="F129" s="32">
        <v>4500</v>
      </c>
      <c r="G129" s="56">
        <v>1</v>
      </c>
      <c r="H129" s="32">
        <v>4500</v>
      </c>
      <c r="I129" s="58" t="str">
        <f t="shared" ca="1" si="1"/>
        <v>MV1_EV_27MY_KO</v>
      </c>
      <c r="J129" s="65" t="str" cm="1">
        <f t="array" ref="J129">IF(D129="","",IF(
  COUNTIF($D$5:$D$571, "Infotainment system") &gt; 0,
  VLOOKUP(D129, 챕터!$F$4:$G$100, 2, FALSE),
  IF(
    SUM(COUNTIF($D$5:$D$571, {"Hybrid system overview","Electric vehicle guide","Infotainment system"})) &gt; 0,
    VLOOKUP(D129, 챕터!$D$4:$E$100, 2, FALSE),
    VLOOKUP(D129, 챕터!$B$4:$C$100, 2, FALSE)
  )
))</f>
        <v>Q</v>
      </c>
      <c r="K129" s="57"/>
      <c r="L129"/>
      <c r="M129"/>
      <c r="N129" s="19"/>
      <c r="O129" s="1"/>
    </row>
    <row r="130" spans="2:15">
      <c r="B130" s="55">
        <v>126</v>
      </c>
      <c r="C130" t="s">
        <v>186</v>
      </c>
      <c r="D130" s="85" t="s">
        <v>629</v>
      </c>
      <c r="E130" s="59" t="s">
        <v>1</v>
      </c>
      <c r="F130" s="32">
        <v>4500</v>
      </c>
      <c r="G130" s="56">
        <v>1</v>
      </c>
      <c r="H130" s="32">
        <v>4500</v>
      </c>
      <c r="I130" s="58" t="str">
        <f t="shared" ca="1" si="1"/>
        <v>MV1_EV_27MY_KO</v>
      </c>
      <c r="J130" s="65" t="str" cm="1">
        <f t="array" ref="J130">IF(D130="","",IF(
  COUNTIF($D$5:$D$571, "Infotainment system") &gt; 0,
  VLOOKUP(D130, 챕터!$F$4:$G$100, 2, FALSE),
  IF(
    SUM(COUNTIF($D$5:$D$571, {"Hybrid system overview","Electric vehicle guide","Infotainment system"})) &gt; 0,
    VLOOKUP(D130, 챕터!$D$4:$E$100, 2, FALSE),
    VLOOKUP(D130, 챕터!$B$4:$C$100, 2, FALSE)
  )
))</f>
        <v>Q</v>
      </c>
      <c r="K130" s="57"/>
      <c r="L130"/>
      <c r="M130"/>
      <c r="N130" s="19"/>
      <c r="O130" s="1"/>
    </row>
    <row r="131" spans="2:15">
      <c r="B131" s="55">
        <v>127</v>
      </c>
      <c r="C131" t="s">
        <v>187</v>
      </c>
      <c r="D131" s="85" t="s">
        <v>629</v>
      </c>
      <c r="E131" s="59" t="s">
        <v>1</v>
      </c>
      <c r="F131" s="32">
        <v>4500</v>
      </c>
      <c r="G131" s="56">
        <v>1</v>
      </c>
      <c r="H131" s="32">
        <v>4500</v>
      </c>
      <c r="I131" s="58" t="str">
        <f t="shared" ca="1" si="1"/>
        <v>MV1_EV_27MY_KO</v>
      </c>
      <c r="J131" s="65" t="str" cm="1">
        <f t="array" ref="J131">IF(D131="","",IF(
  COUNTIF($D$5:$D$571, "Infotainment system") &gt; 0,
  VLOOKUP(D131, 챕터!$F$4:$G$100, 2, FALSE),
  IF(
    SUM(COUNTIF($D$5:$D$571, {"Hybrid system overview","Electric vehicle guide","Infotainment system"})) &gt; 0,
    VLOOKUP(D131, 챕터!$D$4:$E$100, 2, FALSE),
    VLOOKUP(D131, 챕터!$B$4:$C$100, 2, FALSE)
  )
))</f>
        <v>Q</v>
      </c>
      <c r="K131" s="57"/>
      <c r="L131"/>
      <c r="M131"/>
      <c r="N131" s="19"/>
      <c r="O131" s="1"/>
    </row>
    <row r="132" spans="2:15">
      <c r="B132" s="55">
        <v>128</v>
      </c>
      <c r="C132" t="s">
        <v>188</v>
      </c>
      <c r="D132" s="85" t="s">
        <v>629</v>
      </c>
      <c r="E132" s="59" t="s">
        <v>1</v>
      </c>
      <c r="F132" s="32">
        <v>4500</v>
      </c>
      <c r="G132" s="56">
        <v>1</v>
      </c>
      <c r="H132" s="32">
        <v>4500</v>
      </c>
      <c r="I132" s="58" t="str">
        <f t="shared" ca="1" si="1"/>
        <v>MV1_EV_27MY_KO</v>
      </c>
      <c r="J132" s="65" t="str" cm="1">
        <f t="array" ref="J132">IF(D132="","",IF(
  COUNTIF($D$5:$D$571, "Infotainment system") &gt; 0,
  VLOOKUP(D132, 챕터!$F$4:$G$100, 2, FALSE),
  IF(
    SUM(COUNTIF($D$5:$D$571, {"Hybrid system overview","Electric vehicle guide","Infotainment system"})) &gt; 0,
    VLOOKUP(D132, 챕터!$D$4:$E$100, 2, FALSE),
    VLOOKUP(D132, 챕터!$B$4:$C$100, 2, FALSE)
  )
))</f>
        <v>Q</v>
      </c>
      <c r="K132" s="57"/>
      <c r="L132"/>
      <c r="M132"/>
      <c r="N132" s="19"/>
      <c r="O132" s="1"/>
    </row>
    <row r="133" spans="2:15">
      <c r="B133" s="55">
        <v>129</v>
      </c>
      <c r="C133" t="s">
        <v>189</v>
      </c>
      <c r="D133" s="85" t="s">
        <v>629</v>
      </c>
      <c r="E133" s="59" t="s">
        <v>1</v>
      </c>
      <c r="F133" s="32">
        <v>4500</v>
      </c>
      <c r="G133" s="56">
        <v>1</v>
      </c>
      <c r="H133" s="32">
        <v>4500</v>
      </c>
      <c r="I133" s="58" t="str">
        <f t="shared" ca="1" si="1"/>
        <v>MV1_EV_27MY_KO</v>
      </c>
      <c r="J133" s="65" t="str" cm="1">
        <f t="array" ref="J133">IF(D133="","",IF(
  COUNTIF($D$5:$D$571, "Infotainment system") &gt; 0,
  VLOOKUP(D133, 챕터!$F$4:$G$100, 2, FALSE),
  IF(
    SUM(COUNTIF($D$5:$D$571, {"Hybrid system overview","Electric vehicle guide","Infotainment system"})) &gt; 0,
    VLOOKUP(D133, 챕터!$D$4:$E$100, 2, FALSE),
    VLOOKUP(D133, 챕터!$B$4:$C$100, 2, FALSE)
  )
))</f>
        <v>Q</v>
      </c>
      <c r="K133" s="57"/>
      <c r="L133"/>
      <c r="M133"/>
      <c r="N133" s="19"/>
      <c r="O133" s="1"/>
    </row>
    <row r="134" spans="2:15">
      <c r="B134" s="55">
        <v>130</v>
      </c>
      <c r="C134" t="s">
        <v>190</v>
      </c>
      <c r="D134" s="85" t="s">
        <v>629</v>
      </c>
      <c r="E134" s="59" t="s">
        <v>1</v>
      </c>
      <c r="F134" s="32">
        <v>4500</v>
      </c>
      <c r="G134" s="56">
        <v>1</v>
      </c>
      <c r="H134" s="32">
        <v>4500</v>
      </c>
      <c r="I134" s="58" t="str">
        <f t="shared" ca="1" si="1"/>
        <v>MV1_EV_27MY_KO</v>
      </c>
      <c r="J134" s="65" t="str" cm="1">
        <f t="array" ref="J134">IF(D134="","",IF(
  COUNTIF($D$5:$D$571, "Infotainment system") &gt; 0,
  VLOOKUP(D134, 챕터!$F$4:$G$100, 2, FALSE),
  IF(
    SUM(COUNTIF($D$5:$D$571, {"Hybrid system overview","Electric vehicle guide","Infotainment system"})) &gt; 0,
    VLOOKUP(D134, 챕터!$D$4:$E$100, 2, FALSE),
    VLOOKUP(D134, 챕터!$B$4:$C$100, 2, FALSE)
  )
))</f>
        <v>Q</v>
      </c>
      <c r="K134" s="57"/>
      <c r="L134"/>
      <c r="M134"/>
      <c r="N134" s="19"/>
      <c r="O134" s="1"/>
    </row>
    <row r="135" spans="2:15">
      <c r="B135" s="55">
        <v>131</v>
      </c>
      <c r="C135" t="s">
        <v>191</v>
      </c>
      <c r="D135" s="85" t="s">
        <v>629</v>
      </c>
      <c r="E135" s="59" t="s">
        <v>1</v>
      </c>
      <c r="F135" s="32">
        <v>4500</v>
      </c>
      <c r="G135" s="56">
        <v>1</v>
      </c>
      <c r="H135" s="32">
        <v>4500</v>
      </c>
      <c r="I135" s="58" t="str">
        <f t="shared" ref="I135:I198" ca="1" si="2">IF(D135="","",$I$5)</f>
        <v>MV1_EV_27MY_KO</v>
      </c>
      <c r="J135" s="65" t="str" cm="1">
        <f t="array" ref="J135">IF(D135="","",IF(
  COUNTIF($D$5:$D$571, "Infotainment system") &gt; 0,
  VLOOKUP(D135, 챕터!$F$4:$G$100, 2, FALSE),
  IF(
    SUM(COUNTIF($D$5:$D$571, {"Hybrid system overview","Electric vehicle guide","Infotainment system"})) &gt; 0,
    VLOOKUP(D135, 챕터!$D$4:$E$100, 2, FALSE),
    VLOOKUP(D135, 챕터!$B$4:$C$100, 2, FALSE)
  )
))</f>
        <v>Q</v>
      </c>
      <c r="K135" s="57"/>
      <c r="L135"/>
      <c r="M135"/>
      <c r="N135" s="19"/>
      <c r="O135" s="1"/>
    </row>
    <row r="136" spans="2:15">
      <c r="B136" s="55">
        <v>132</v>
      </c>
      <c r="C136" t="s">
        <v>192</v>
      </c>
      <c r="D136" s="85" t="s">
        <v>629</v>
      </c>
      <c r="E136" s="59" t="s">
        <v>1</v>
      </c>
      <c r="F136" s="32">
        <v>4500</v>
      </c>
      <c r="G136" s="56">
        <v>1</v>
      </c>
      <c r="H136" s="32">
        <v>4500</v>
      </c>
      <c r="I136" s="58" t="str">
        <f t="shared" ca="1" si="2"/>
        <v>MV1_EV_27MY_KO</v>
      </c>
      <c r="J136" s="65" t="str" cm="1">
        <f t="array" ref="J136">IF(D136="","",IF(
  COUNTIF($D$5:$D$571, "Infotainment system") &gt; 0,
  VLOOKUP(D136, 챕터!$F$4:$G$100, 2, FALSE),
  IF(
    SUM(COUNTIF($D$5:$D$571, {"Hybrid system overview","Electric vehicle guide","Infotainment system"})) &gt; 0,
    VLOOKUP(D136, 챕터!$D$4:$E$100, 2, FALSE),
    VLOOKUP(D136, 챕터!$B$4:$C$100, 2, FALSE)
  )
))</f>
        <v>Q</v>
      </c>
      <c r="K136" s="57"/>
      <c r="L136"/>
      <c r="M136"/>
      <c r="N136" s="19"/>
      <c r="O136" s="1"/>
    </row>
    <row r="137" spans="2:15">
      <c r="B137" s="55">
        <v>133</v>
      </c>
      <c r="C137" t="s">
        <v>193</v>
      </c>
      <c r="D137" s="85" t="s">
        <v>629</v>
      </c>
      <c r="E137" s="59" t="s">
        <v>1</v>
      </c>
      <c r="F137" s="32">
        <v>4500</v>
      </c>
      <c r="G137" s="56">
        <v>1</v>
      </c>
      <c r="H137" s="32">
        <v>4500</v>
      </c>
      <c r="I137" s="58" t="str">
        <f t="shared" ca="1" si="2"/>
        <v>MV1_EV_27MY_KO</v>
      </c>
      <c r="J137" s="65" t="str" cm="1">
        <f t="array" ref="J137">IF(D137="","",IF(
  COUNTIF($D$5:$D$571, "Infotainment system") &gt; 0,
  VLOOKUP(D137, 챕터!$F$4:$G$100, 2, FALSE),
  IF(
    SUM(COUNTIF($D$5:$D$571, {"Hybrid system overview","Electric vehicle guide","Infotainment system"})) &gt; 0,
    VLOOKUP(D137, 챕터!$D$4:$E$100, 2, FALSE),
    VLOOKUP(D137, 챕터!$B$4:$C$100, 2, FALSE)
  )
))</f>
        <v>Q</v>
      </c>
      <c r="K137" s="57"/>
      <c r="L137"/>
      <c r="M137"/>
      <c r="N137" s="19"/>
      <c r="O137" s="1"/>
    </row>
    <row r="138" spans="2:15">
      <c r="B138" s="55">
        <v>134</v>
      </c>
      <c r="C138" t="s">
        <v>194</v>
      </c>
      <c r="D138" s="85" t="s">
        <v>629</v>
      </c>
      <c r="E138" s="59" t="s">
        <v>1</v>
      </c>
      <c r="F138" s="32">
        <v>4500</v>
      </c>
      <c r="G138" s="56">
        <v>1</v>
      </c>
      <c r="H138" s="32">
        <v>4500</v>
      </c>
      <c r="I138" s="58" t="str">
        <f t="shared" ca="1" si="2"/>
        <v>MV1_EV_27MY_KO</v>
      </c>
      <c r="J138" s="65" t="str" cm="1">
        <f t="array" ref="J138">IF(D138="","",IF(
  COUNTIF($D$5:$D$571, "Infotainment system") &gt; 0,
  VLOOKUP(D138, 챕터!$F$4:$G$100, 2, FALSE),
  IF(
    SUM(COUNTIF($D$5:$D$571, {"Hybrid system overview","Electric vehicle guide","Infotainment system"})) &gt; 0,
    VLOOKUP(D138, 챕터!$D$4:$E$100, 2, FALSE),
    VLOOKUP(D138, 챕터!$B$4:$C$100, 2, FALSE)
  )
))</f>
        <v>Q</v>
      </c>
      <c r="K138" s="57"/>
      <c r="L138"/>
      <c r="M138"/>
      <c r="N138" s="19"/>
      <c r="O138" s="1"/>
    </row>
    <row r="139" spans="2:15">
      <c r="B139" s="55">
        <v>135</v>
      </c>
      <c r="C139" t="s">
        <v>195</v>
      </c>
      <c r="D139" s="85" t="s">
        <v>629</v>
      </c>
      <c r="E139" s="59" t="s">
        <v>1</v>
      </c>
      <c r="F139" s="32">
        <v>4500</v>
      </c>
      <c r="G139" s="56">
        <v>1</v>
      </c>
      <c r="H139" s="32">
        <v>4500</v>
      </c>
      <c r="I139" s="58" t="str">
        <f t="shared" ca="1" si="2"/>
        <v>MV1_EV_27MY_KO</v>
      </c>
      <c r="J139" s="65" t="str" cm="1">
        <f t="array" ref="J139">IF(D139="","",IF(
  COUNTIF($D$5:$D$571, "Infotainment system") &gt; 0,
  VLOOKUP(D139, 챕터!$F$4:$G$100, 2, FALSE),
  IF(
    SUM(COUNTIF($D$5:$D$571, {"Hybrid system overview","Electric vehicle guide","Infotainment system"})) &gt; 0,
    VLOOKUP(D139, 챕터!$D$4:$E$100, 2, FALSE),
    VLOOKUP(D139, 챕터!$B$4:$C$100, 2, FALSE)
  )
))</f>
        <v>Q</v>
      </c>
      <c r="K139" s="57"/>
      <c r="L139"/>
      <c r="M139"/>
      <c r="N139" s="19"/>
      <c r="O139" s="1"/>
    </row>
    <row r="140" spans="2:15">
      <c r="B140" s="55">
        <v>136</v>
      </c>
      <c r="C140" t="s">
        <v>196</v>
      </c>
      <c r="D140" s="85" t="s">
        <v>629</v>
      </c>
      <c r="E140" s="59" t="s">
        <v>1</v>
      </c>
      <c r="F140" s="32">
        <v>4500</v>
      </c>
      <c r="G140" s="56">
        <v>1</v>
      </c>
      <c r="H140" s="32">
        <v>4500</v>
      </c>
      <c r="I140" s="58" t="str">
        <f t="shared" ca="1" si="2"/>
        <v>MV1_EV_27MY_KO</v>
      </c>
      <c r="J140" s="65" t="str" cm="1">
        <f t="array" ref="J140">IF(D140="","",IF(
  COUNTIF($D$5:$D$571, "Infotainment system") &gt; 0,
  VLOOKUP(D140, 챕터!$F$4:$G$100, 2, FALSE),
  IF(
    SUM(COUNTIF($D$5:$D$571, {"Hybrid system overview","Electric vehicle guide","Infotainment system"})) &gt; 0,
    VLOOKUP(D140, 챕터!$D$4:$E$100, 2, FALSE),
    VLOOKUP(D140, 챕터!$B$4:$C$100, 2, FALSE)
  )
))</f>
        <v>Q</v>
      </c>
      <c r="K140" s="57"/>
      <c r="L140"/>
      <c r="M140"/>
      <c r="N140" s="19"/>
      <c r="O140" s="1"/>
    </row>
    <row r="141" spans="2:15">
      <c r="B141" s="55">
        <v>137</v>
      </c>
      <c r="C141" t="s">
        <v>197</v>
      </c>
      <c r="D141" s="85" t="s">
        <v>629</v>
      </c>
      <c r="E141" s="59" t="s">
        <v>1</v>
      </c>
      <c r="F141" s="32">
        <v>4500</v>
      </c>
      <c r="G141" s="56">
        <v>1</v>
      </c>
      <c r="H141" s="32">
        <v>4500</v>
      </c>
      <c r="I141" s="58" t="str">
        <f t="shared" ca="1" si="2"/>
        <v>MV1_EV_27MY_KO</v>
      </c>
      <c r="J141" s="65" t="str" cm="1">
        <f t="array" ref="J141">IF(D141="","",IF(
  COUNTIF($D$5:$D$571, "Infotainment system") &gt; 0,
  VLOOKUP(D141, 챕터!$F$4:$G$100, 2, FALSE),
  IF(
    SUM(COUNTIF($D$5:$D$571, {"Hybrid system overview","Electric vehicle guide","Infotainment system"})) &gt; 0,
    VLOOKUP(D141, 챕터!$D$4:$E$100, 2, FALSE),
    VLOOKUP(D141, 챕터!$B$4:$C$100, 2, FALSE)
  )
))</f>
        <v>Q</v>
      </c>
      <c r="K141" s="57"/>
      <c r="L141"/>
      <c r="M141"/>
      <c r="N141" s="19"/>
      <c r="O141" s="1"/>
    </row>
    <row r="142" spans="2:15">
      <c r="B142" s="55">
        <v>138</v>
      </c>
      <c r="C142" t="s">
        <v>198</v>
      </c>
      <c r="D142" s="85" t="s">
        <v>629</v>
      </c>
      <c r="E142" s="59" t="s">
        <v>1</v>
      </c>
      <c r="F142" s="32">
        <v>4500</v>
      </c>
      <c r="G142" s="56">
        <v>1</v>
      </c>
      <c r="H142" s="32">
        <v>4500</v>
      </c>
      <c r="I142" s="58" t="str">
        <f t="shared" ca="1" si="2"/>
        <v>MV1_EV_27MY_KO</v>
      </c>
      <c r="J142" s="65" t="str" cm="1">
        <f t="array" ref="J142">IF(D142="","",IF(
  COUNTIF($D$5:$D$571, "Infotainment system") &gt; 0,
  VLOOKUP(D142, 챕터!$F$4:$G$100, 2, FALSE),
  IF(
    SUM(COUNTIF($D$5:$D$571, {"Hybrid system overview","Electric vehicle guide","Infotainment system"})) &gt; 0,
    VLOOKUP(D142, 챕터!$D$4:$E$100, 2, FALSE),
    VLOOKUP(D142, 챕터!$B$4:$C$100, 2, FALSE)
  )
))</f>
        <v>Q</v>
      </c>
      <c r="K142" s="57"/>
      <c r="L142"/>
      <c r="M142"/>
      <c r="N142" s="19"/>
      <c r="O142" s="1"/>
    </row>
    <row r="143" spans="2:15">
      <c r="B143" s="55">
        <v>139</v>
      </c>
      <c r="C143" t="s">
        <v>199</v>
      </c>
      <c r="D143" s="85" t="s">
        <v>629</v>
      </c>
      <c r="E143" s="59" t="s">
        <v>1</v>
      </c>
      <c r="F143" s="32">
        <v>4500</v>
      </c>
      <c r="G143" s="56">
        <v>1</v>
      </c>
      <c r="H143" s="32">
        <v>4500</v>
      </c>
      <c r="I143" s="58" t="str">
        <f t="shared" ca="1" si="2"/>
        <v>MV1_EV_27MY_KO</v>
      </c>
      <c r="J143" s="65" t="str" cm="1">
        <f t="array" ref="J143">IF(D143="","",IF(
  COUNTIF($D$5:$D$571, "Infotainment system") &gt; 0,
  VLOOKUP(D143, 챕터!$F$4:$G$100, 2, FALSE),
  IF(
    SUM(COUNTIF($D$5:$D$571, {"Hybrid system overview","Electric vehicle guide","Infotainment system"})) &gt; 0,
    VLOOKUP(D143, 챕터!$D$4:$E$100, 2, FALSE),
    VLOOKUP(D143, 챕터!$B$4:$C$100, 2, FALSE)
  )
))</f>
        <v>Q</v>
      </c>
      <c r="K143" s="57"/>
      <c r="L143"/>
      <c r="M143"/>
      <c r="N143" s="19"/>
      <c r="O143" s="1"/>
    </row>
    <row r="144" spans="2:15">
      <c r="B144" s="55">
        <v>140</v>
      </c>
      <c r="C144" t="s">
        <v>200</v>
      </c>
      <c r="D144" s="85" t="s">
        <v>629</v>
      </c>
      <c r="E144" s="59" t="s">
        <v>1</v>
      </c>
      <c r="F144" s="32">
        <v>4500</v>
      </c>
      <c r="G144" s="56">
        <v>1</v>
      </c>
      <c r="H144" s="32">
        <v>4500</v>
      </c>
      <c r="I144" s="58" t="str">
        <f t="shared" ca="1" si="2"/>
        <v>MV1_EV_27MY_KO</v>
      </c>
      <c r="J144" s="65" t="str" cm="1">
        <f t="array" ref="J144">IF(D144="","",IF(
  COUNTIF($D$5:$D$571, "Infotainment system") &gt; 0,
  VLOOKUP(D144, 챕터!$F$4:$G$100, 2, FALSE),
  IF(
    SUM(COUNTIF($D$5:$D$571, {"Hybrid system overview","Electric vehicle guide","Infotainment system"})) &gt; 0,
    VLOOKUP(D144, 챕터!$D$4:$E$100, 2, FALSE),
    VLOOKUP(D144, 챕터!$B$4:$C$100, 2, FALSE)
  )
))</f>
        <v>Q</v>
      </c>
      <c r="K144" s="57"/>
      <c r="L144"/>
      <c r="M144"/>
      <c r="N144" s="19"/>
      <c r="O144" s="1"/>
    </row>
    <row r="145" spans="2:15">
      <c r="B145" s="55">
        <v>141</v>
      </c>
      <c r="C145" t="s">
        <v>201</v>
      </c>
      <c r="D145" s="85" t="s">
        <v>629</v>
      </c>
      <c r="E145" s="59" t="s">
        <v>1</v>
      </c>
      <c r="F145" s="32">
        <v>4500</v>
      </c>
      <c r="G145" s="56">
        <v>1</v>
      </c>
      <c r="H145" s="32">
        <v>4500</v>
      </c>
      <c r="I145" s="58" t="str">
        <f t="shared" ca="1" si="2"/>
        <v>MV1_EV_27MY_KO</v>
      </c>
      <c r="J145" s="65" t="str" cm="1">
        <f t="array" ref="J145">IF(D145="","",IF(
  COUNTIF($D$5:$D$571, "Infotainment system") &gt; 0,
  VLOOKUP(D145, 챕터!$F$4:$G$100, 2, FALSE),
  IF(
    SUM(COUNTIF($D$5:$D$571, {"Hybrid system overview","Electric vehicle guide","Infotainment system"})) &gt; 0,
    VLOOKUP(D145, 챕터!$D$4:$E$100, 2, FALSE),
    VLOOKUP(D145, 챕터!$B$4:$C$100, 2, FALSE)
  )
))</f>
        <v>Q</v>
      </c>
      <c r="K145" s="57"/>
      <c r="L145"/>
      <c r="M145"/>
      <c r="N145" s="19"/>
      <c r="O145" s="1"/>
    </row>
    <row r="146" spans="2:15">
      <c r="B146" s="55">
        <v>142</v>
      </c>
      <c r="C146" t="s">
        <v>202</v>
      </c>
      <c r="D146" s="85" t="s">
        <v>629</v>
      </c>
      <c r="E146" s="59" t="s">
        <v>1</v>
      </c>
      <c r="F146" s="32">
        <v>4500</v>
      </c>
      <c r="G146" s="56">
        <v>1</v>
      </c>
      <c r="H146" s="32">
        <v>4500</v>
      </c>
      <c r="I146" s="58" t="str">
        <f t="shared" ca="1" si="2"/>
        <v>MV1_EV_27MY_KO</v>
      </c>
      <c r="J146" s="65" t="str" cm="1">
        <f t="array" ref="J146">IF(D146="","",IF(
  COUNTIF($D$5:$D$571, "Infotainment system") &gt; 0,
  VLOOKUP(D146, 챕터!$F$4:$G$100, 2, FALSE),
  IF(
    SUM(COUNTIF($D$5:$D$571, {"Hybrid system overview","Electric vehicle guide","Infotainment system"})) &gt; 0,
    VLOOKUP(D146, 챕터!$D$4:$E$100, 2, FALSE),
    VLOOKUP(D146, 챕터!$B$4:$C$100, 2, FALSE)
  )
))</f>
        <v>Q</v>
      </c>
      <c r="K146" s="57"/>
      <c r="L146"/>
      <c r="M146"/>
      <c r="N146" s="19"/>
      <c r="O146" s="1"/>
    </row>
    <row r="147" spans="2:15">
      <c r="B147" s="55">
        <v>143</v>
      </c>
      <c r="C147" t="s">
        <v>203</v>
      </c>
      <c r="D147" s="85" t="s">
        <v>629</v>
      </c>
      <c r="E147" s="59" t="s">
        <v>1</v>
      </c>
      <c r="F147" s="32">
        <v>4500</v>
      </c>
      <c r="G147" s="56">
        <v>1</v>
      </c>
      <c r="H147" s="32">
        <v>4500</v>
      </c>
      <c r="I147" s="58" t="str">
        <f t="shared" ca="1" si="2"/>
        <v>MV1_EV_27MY_KO</v>
      </c>
      <c r="J147" s="65" t="str" cm="1">
        <f t="array" ref="J147">IF(D147="","",IF(
  COUNTIF($D$5:$D$571, "Infotainment system") &gt; 0,
  VLOOKUP(D147, 챕터!$F$4:$G$100, 2, FALSE),
  IF(
    SUM(COUNTIF($D$5:$D$571, {"Hybrid system overview","Electric vehicle guide","Infotainment system"})) &gt; 0,
    VLOOKUP(D147, 챕터!$D$4:$E$100, 2, FALSE),
    VLOOKUP(D147, 챕터!$B$4:$C$100, 2, FALSE)
  )
))</f>
        <v>Q</v>
      </c>
      <c r="K147" s="57"/>
      <c r="L147"/>
      <c r="M147"/>
      <c r="N147" s="19"/>
      <c r="O147" s="1"/>
    </row>
    <row r="148" spans="2:15">
      <c r="B148" s="55">
        <v>144</v>
      </c>
      <c r="C148" t="s">
        <v>204</v>
      </c>
      <c r="D148" s="85" t="s">
        <v>629</v>
      </c>
      <c r="E148" s="59" t="s">
        <v>1</v>
      </c>
      <c r="F148" s="32">
        <v>4500</v>
      </c>
      <c r="G148" s="56">
        <v>1</v>
      </c>
      <c r="H148" s="32">
        <v>4500</v>
      </c>
      <c r="I148" s="58" t="str">
        <f t="shared" ca="1" si="2"/>
        <v>MV1_EV_27MY_KO</v>
      </c>
      <c r="J148" s="65" t="str" cm="1">
        <f t="array" ref="J148">IF(D148="","",IF(
  COUNTIF($D$5:$D$571, "Infotainment system") &gt; 0,
  VLOOKUP(D148, 챕터!$F$4:$G$100, 2, FALSE),
  IF(
    SUM(COUNTIF($D$5:$D$571, {"Hybrid system overview","Electric vehicle guide","Infotainment system"})) &gt; 0,
    VLOOKUP(D148, 챕터!$D$4:$E$100, 2, FALSE),
    VLOOKUP(D148, 챕터!$B$4:$C$100, 2, FALSE)
  )
))</f>
        <v>Q</v>
      </c>
      <c r="K148" s="57"/>
      <c r="L148"/>
      <c r="M148"/>
      <c r="N148" s="19"/>
      <c r="O148" s="1"/>
    </row>
    <row r="149" spans="2:15">
      <c r="B149" s="55">
        <v>145</v>
      </c>
      <c r="C149" t="s">
        <v>205</v>
      </c>
      <c r="D149" s="85" t="s">
        <v>629</v>
      </c>
      <c r="E149" s="59" t="s">
        <v>1</v>
      </c>
      <c r="F149" s="32">
        <v>4500</v>
      </c>
      <c r="G149" s="56">
        <v>1</v>
      </c>
      <c r="H149" s="32">
        <v>4500</v>
      </c>
      <c r="I149" s="58" t="str">
        <f t="shared" ca="1" si="2"/>
        <v>MV1_EV_27MY_KO</v>
      </c>
      <c r="J149" s="65" t="str" cm="1">
        <f t="array" ref="J149">IF(D149="","",IF(
  COUNTIF($D$5:$D$571, "Infotainment system") &gt; 0,
  VLOOKUP(D149, 챕터!$F$4:$G$100, 2, FALSE),
  IF(
    SUM(COUNTIF($D$5:$D$571, {"Hybrid system overview","Electric vehicle guide","Infotainment system"})) &gt; 0,
    VLOOKUP(D149, 챕터!$D$4:$E$100, 2, FALSE),
    VLOOKUP(D149, 챕터!$B$4:$C$100, 2, FALSE)
  )
))</f>
        <v>Q</v>
      </c>
      <c r="K149" s="57"/>
      <c r="L149"/>
      <c r="M149"/>
      <c r="N149" s="19"/>
      <c r="O149" s="1"/>
    </row>
    <row r="150" spans="2:15">
      <c r="B150" s="55">
        <v>146</v>
      </c>
      <c r="C150" t="s">
        <v>206</v>
      </c>
      <c r="D150" s="85" t="s">
        <v>629</v>
      </c>
      <c r="E150" s="59" t="s">
        <v>1</v>
      </c>
      <c r="F150" s="32">
        <v>4500</v>
      </c>
      <c r="G150" s="56">
        <v>1</v>
      </c>
      <c r="H150" s="32">
        <v>4500</v>
      </c>
      <c r="I150" s="58" t="str">
        <f t="shared" ca="1" si="2"/>
        <v>MV1_EV_27MY_KO</v>
      </c>
      <c r="J150" s="65" t="str" cm="1">
        <f t="array" ref="J150">IF(D150="","",IF(
  COUNTIF($D$5:$D$571, "Infotainment system") &gt; 0,
  VLOOKUP(D150, 챕터!$F$4:$G$100, 2, FALSE),
  IF(
    SUM(COUNTIF($D$5:$D$571, {"Hybrid system overview","Electric vehicle guide","Infotainment system"})) &gt; 0,
    VLOOKUP(D150, 챕터!$D$4:$E$100, 2, FALSE),
    VLOOKUP(D150, 챕터!$B$4:$C$100, 2, FALSE)
  )
))</f>
        <v>Q</v>
      </c>
      <c r="K150" s="57"/>
      <c r="L150"/>
      <c r="M150"/>
      <c r="N150" s="19"/>
      <c r="O150" s="1"/>
    </row>
    <row r="151" spans="2:15">
      <c r="B151" s="55">
        <v>147</v>
      </c>
      <c r="C151" t="s">
        <v>207</v>
      </c>
      <c r="D151" s="85" t="s">
        <v>629</v>
      </c>
      <c r="E151" s="59" t="s">
        <v>1</v>
      </c>
      <c r="F151" s="32">
        <v>4500</v>
      </c>
      <c r="G151" s="56">
        <v>1</v>
      </c>
      <c r="H151" s="32">
        <v>4500</v>
      </c>
      <c r="I151" s="58" t="str">
        <f t="shared" ca="1" si="2"/>
        <v>MV1_EV_27MY_KO</v>
      </c>
      <c r="J151" s="65" t="str" cm="1">
        <f t="array" ref="J151">IF(D151="","",IF(
  COUNTIF($D$5:$D$571, "Infotainment system") &gt; 0,
  VLOOKUP(D151, 챕터!$F$4:$G$100, 2, FALSE),
  IF(
    SUM(COUNTIF($D$5:$D$571, {"Hybrid system overview","Electric vehicle guide","Infotainment system"})) &gt; 0,
    VLOOKUP(D151, 챕터!$D$4:$E$100, 2, FALSE),
    VLOOKUP(D151, 챕터!$B$4:$C$100, 2, FALSE)
  )
))</f>
        <v>Q</v>
      </c>
      <c r="K151" s="57"/>
      <c r="L151"/>
      <c r="M151"/>
      <c r="N151" s="19"/>
      <c r="O151" s="1"/>
    </row>
    <row r="152" spans="2:15">
      <c r="B152" s="55">
        <v>148</v>
      </c>
      <c r="C152" t="s">
        <v>208</v>
      </c>
      <c r="D152" s="85" t="s">
        <v>629</v>
      </c>
      <c r="E152" s="59" t="s">
        <v>1</v>
      </c>
      <c r="F152" s="32">
        <v>4500</v>
      </c>
      <c r="G152" s="56">
        <v>1</v>
      </c>
      <c r="H152" s="32">
        <v>4500</v>
      </c>
      <c r="I152" s="58" t="str">
        <f t="shared" ca="1" si="2"/>
        <v>MV1_EV_27MY_KO</v>
      </c>
      <c r="J152" s="65" t="str" cm="1">
        <f t="array" ref="J152">IF(D152="","",IF(
  COUNTIF($D$5:$D$571, "Infotainment system") &gt; 0,
  VLOOKUP(D152, 챕터!$F$4:$G$100, 2, FALSE),
  IF(
    SUM(COUNTIF($D$5:$D$571, {"Hybrid system overview","Electric vehicle guide","Infotainment system"})) &gt; 0,
    VLOOKUP(D152, 챕터!$D$4:$E$100, 2, FALSE),
    VLOOKUP(D152, 챕터!$B$4:$C$100, 2, FALSE)
  )
))</f>
        <v>Q</v>
      </c>
      <c r="K152" s="57"/>
      <c r="L152"/>
      <c r="M152"/>
      <c r="N152" s="19"/>
      <c r="O152" s="1"/>
    </row>
    <row r="153" spans="2:15">
      <c r="B153" s="55">
        <v>149</v>
      </c>
      <c r="C153" t="s">
        <v>209</v>
      </c>
      <c r="D153" s="85" t="s">
        <v>629</v>
      </c>
      <c r="E153" s="59" t="s">
        <v>1</v>
      </c>
      <c r="F153" s="32">
        <v>4500</v>
      </c>
      <c r="G153" s="56">
        <v>1</v>
      </c>
      <c r="H153" s="32">
        <v>4500</v>
      </c>
      <c r="I153" s="58" t="str">
        <f t="shared" ca="1" si="2"/>
        <v>MV1_EV_27MY_KO</v>
      </c>
      <c r="J153" s="65" t="str" cm="1">
        <f t="array" ref="J153">IF(D153="","",IF(
  COUNTIF($D$5:$D$571, "Infotainment system") &gt; 0,
  VLOOKUP(D153, 챕터!$F$4:$G$100, 2, FALSE),
  IF(
    SUM(COUNTIF($D$5:$D$571, {"Hybrid system overview","Electric vehicle guide","Infotainment system"})) &gt; 0,
    VLOOKUP(D153, 챕터!$D$4:$E$100, 2, FALSE),
    VLOOKUP(D153, 챕터!$B$4:$C$100, 2, FALSE)
  )
))</f>
        <v>Q</v>
      </c>
      <c r="K153" s="57"/>
      <c r="L153"/>
      <c r="M153"/>
      <c r="N153" s="19"/>
      <c r="O153" s="1"/>
    </row>
    <row r="154" spans="2:15">
      <c r="B154" s="55">
        <v>150</v>
      </c>
      <c r="C154" t="s">
        <v>210</v>
      </c>
      <c r="D154" s="85" t="s">
        <v>629</v>
      </c>
      <c r="E154" s="59" t="s">
        <v>1</v>
      </c>
      <c r="F154" s="32">
        <v>4500</v>
      </c>
      <c r="G154" s="56">
        <v>1</v>
      </c>
      <c r="H154" s="32">
        <v>4500</v>
      </c>
      <c r="I154" s="58" t="str">
        <f t="shared" ca="1" si="2"/>
        <v>MV1_EV_27MY_KO</v>
      </c>
      <c r="J154" s="65" t="str" cm="1">
        <f t="array" ref="J154">IF(D154="","",IF(
  COUNTIF($D$5:$D$571, "Infotainment system") &gt; 0,
  VLOOKUP(D154, 챕터!$F$4:$G$100, 2, FALSE),
  IF(
    SUM(COUNTIF($D$5:$D$571, {"Hybrid system overview","Electric vehicle guide","Infotainment system"})) &gt; 0,
    VLOOKUP(D154, 챕터!$D$4:$E$100, 2, FALSE),
    VLOOKUP(D154, 챕터!$B$4:$C$100, 2, FALSE)
  )
))</f>
        <v>Q</v>
      </c>
      <c r="K154" s="57"/>
      <c r="L154"/>
      <c r="M154"/>
      <c r="N154" s="19"/>
      <c r="O154" s="1"/>
    </row>
    <row r="155" spans="2:15">
      <c r="B155" s="55">
        <v>151</v>
      </c>
      <c r="C155" t="s">
        <v>211</v>
      </c>
      <c r="D155" s="85" t="s">
        <v>629</v>
      </c>
      <c r="E155" s="59" t="s">
        <v>1</v>
      </c>
      <c r="F155" s="32">
        <v>4500</v>
      </c>
      <c r="G155" s="56">
        <v>1</v>
      </c>
      <c r="H155" s="32">
        <v>4500</v>
      </c>
      <c r="I155" s="58" t="str">
        <f t="shared" ca="1" si="2"/>
        <v>MV1_EV_27MY_KO</v>
      </c>
      <c r="J155" s="65" t="str" cm="1">
        <f t="array" ref="J155">IF(D155="","",IF(
  COUNTIF($D$5:$D$571, "Infotainment system") &gt; 0,
  VLOOKUP(D155, 챕터!$F$4:$G$100, 2, FALSE),
  IF(
    SUM(COUNTIF($D$5:$D$571, {"Hybrid system overview","Electric vehicle guide","Infotainment system"})) &gt; 0,
    VLOOKUP(D155, 챕터!$D$4:$E$100, 2, FALSE),
    VLOOKUP(D155, 챕터!$B$4:$C$100, 2, FALSE)
  )
))</f>
        <v>Q</v>
      </c>
      <c r="K155" s="57"/>
      <c r="L155"/>
      <c r="M155"/>
      <c r="N155" s="19"/>
      <c r="O155" s="1"/>
    </row>
    <row r="156" spans="2:15">
      <c r="B156" s="55">
        <v>152</v>
      </c>
      <c r="C156" t="s">
        <v>212</v>
      </c>
      <c r="D156" s="85" t="s">
        <v>629</v>
      </c>
      <c r="E156" s="59" t="s">
        <v>1</v>
      </c>
      <c r="F156" s="32">
        <v>4500</v>
      </c>
      <c r="G156" s="56">
        <v>1</v>
      </c>
      <c r="H156" s="32">
        <v>4500</v>
      </c>
      <c r="I156" s="58" t="str">
        <f t="shared" ca="1" si="2"/>
        <v>MV1_EV_27MY_KO</v>
      </c>
      <c r="J156" s="65" t="str" cm="1">
        <f t="array" ref="J156">IF(D156="","",IF(
  COUNTIF($D$5:$D$571, "Infotainment system") &gt; 0,
  VLOOKUP(D156, 챕터!$F$4:$G$100, 2, FALSE),
  IF(
    SUM(COUNTIF($D$5:$D$571, {"Hybrid system overview","Electric vehicle guide","Infotainment system"})) &gt; 0,
    VLOOKUP(D156, 챕터!$D$4:$E$100, 2, FALSE),
    VLOOKUP(D156, 챕터!$B$4:$C$100, 2, FALSE)
  )
))</f>
        <v>Q</v>
      </c>
      <c r="K156" s="57"/>
      <c r="L156"/>
      <c r="M156"/>
      <c r="N156" s="19"/>
      <c r="O156" s="1"/>
    </row>
    <row r="157" spans="2:15">
      <c r="B157" s="55">
        <v>153</v>
      </c>
      <c r="C157" t="s">
        <v>213</v>
      </c>
      <c r="D157" s="85" t="s">
        <v>629</v>
      </c>
      <c r="E157" s="59" t="s">
        <v>1</v>
      </c>
      <c r="F157" s="32">
        <v>4500</v>
      </c>
      <c r="G157" s="56">
        <v>1</v>
      </c>
      <c r="H157" s="32">
        <v>4500</v>
      </c>
      <c r="I157" s="58" t="str">
        <f t="shared" ca="1" si="2"/>
        <v>MV1_EV_27MY_KO</v>
      </c>
      <c r="J157" s="65" t="str" cm="1">
        <f t="array" ref="J157">IF(D157="","",IF(
  COUNTIF($D$5:$D$571, "Infotainment system") &gt; 0,
  VLOOKUP(D157, 챕터!$F$4:$G$100, 2, FALSE),
  IF(
    SUM(COUNTIF($D$5:$D$571, {"Hybrid system overview","Electric vehicle guide","Infotainment system"})) &gt; 0,
    VLOOKUP(D157, 챕터!$D$4:$E$100, 2, FALSE),
    VLOOKUP(D157, 챕터!$B$4:$C$100, 2, FALSE)
  )
))</f>
        <v>Q</v>
      </c>
      <c r="K157" s="57"/>
      <c r="L157"/>
      <c r="M157"/>
      <c r="N157" s="19"/>
      <c r="O157" s="1"/>
    </row>
    <row r="158" spans="2:15">
      <c r="B158" s="55">
        <v>154</v>
      </c>
      <c r="C158" t="s">
        <v>214</v>
      </c>
      <c r="D158" s="85" t="s">
        <v>629</v>
      </c>
      <c r="E158" s="59" t="s">
        <v>1</v>
      </c>
      <c r="F158" s="32">
        <v>4500</v>
      </c>
      <c r="G158" s="56">
        <v>1</v>
      </c>
      <c r="H158" s="32">
        <v>4500</v>
      </c>
      <c r="I158" s="58" t="str">
        <f t="shared" ca="1" si="2"/>
        <v>MV1_EV_27MY_KO</v>
      </c>
      <c r="J158" s="65" t="str" cm="1">
        <f t="array" ref="J158">IF(D158="","",IF(
  COUNTIF($D$5:$D$571, "Infotainment system") &gt; 0,
  VLOOKUP(D158, 챕터!$F$4:$G$100, 2, FALSE),
  IF(
    SUM(COUNTIF($D$5:$D$571, {"Hybrid system overview","Electric vehicle guide","Infotainment system"})) &gt; 0,
    VLOOKUP(D158, 챕터!$D$4:$E$100, 2, FALSE),
    VLOOKUP(D158, 챕터!$B$4:$C$100, 2, FALSE)
  )
))</f>
        <v>Q</v>
      </c>
      <c r="K158" s="57"/>
      <c r="L158"/>
      <c r="M158"/>
      <c r="N158" s="19"/>
      <c r="O158" s="1"/>
    </row>
    <row r="159" spans="2:15">
      <c r="B159" s="55">
        <v>155</v>
      </c>
      <c r="C159" t="s">
        <v>215</v>
      </c>
      <c r="D159" s="85" t="s">
        <v>629</v>
      </c>
      <c r="E159" s="59" t="s">
        <v>1</v>
      </c>
      <c r="F159" s="32">
        <v>4500</v>
      </c>
      <c r="G159" s="56">
        <v>1</v>
      </c>
      <c r="H159" s="32">
        <v>4500</v>
      </c>
      <c r="I159" s="58" t="str">
        <f t="shared" ca="1" si="2"/>
        <v>MV1_EV_27MY_KO</v>
      </c>
      <c r="J159" s="65" t="str" cm="1">
        <f t="array" ref="J159">IF(D159="","",IF(
  COUNTIF($D$5:$D$571, "Infotainment system") &gt; 0,
  VLOOKUP(D159, 챕터!$F$4:$G$100, 2, FALSE),
  IF(
    SUM(COUNTIF($D$5:$D$571, {"Hybrid system overview","Electric vehicle guide","Infotainment system"})) &gt; 0,
    VLOOKUP(D159, 챕터!$D$4:$E$100, 2, FALSE),
    VLOOKUP(D159, 챕터!$B$4:$C$100, 2, FALSE)
  )
))</f>
        <v>Q</v>
      </c>
      <c r="K159" s="57"/>
      <c r="L159"/>
      <c r="M159"/>
      <c r="N159" s="19"/>
      <c r="O159" s="1"/>
    </row>
    <row r="160" spans="2:15">
      <c r="B160" s="55">
        <v>156</v>
      </c>
      <c r="C160" t="s">
        <v>216</v>
      </c>
      <c r="D160" s="85" t="s">
        <v>629</v>
      </c>
      <c r="E160" s="59" t="s">
        <v>1</v>
      </c>
      <c r="F160" s="32">
        <v>4500</v>
      </c>
      <c r="G160" s="56">
        <v>1</v>
      </c>
      <c r="H160" s="32">
        <v>4500</v>
      </c>
      <c r="I160" s="58" t="str">
        <f t="shared" ca="1" si="2"/>
        <v>MV1_EV_27MY_KO</v>
      </c>
      <c r="J160" s="65" t="str" cm="1">
        <f t="array" ref="J160">IF(D160="","",IF(
  COUNTIF($D$5:$D$571, "Infotainment system") &gt; 0,
  VLOOKUP(D160, 챕터!$F$4:$G$100, 2, FALSE),
  IF(
    SUM(COUNTIF($D$5:$D$571, {"Hybrid system overview","Electric vehicle guide","Infotainment system"})) &gt; 0,
    VLOOKUP(D160, 챕터!$D$4:$E$100, 2, FALSE),
    VLOOKUP(D160, 챕터!$B$4:$C$100, 2, FALSE)
  )
))</f>
        <v>Q</v>
      </c>
      <c r="K160" s="57"/>
      <c r="L160"/>
      <c r="M160"/>
      <c r="N160" s="19"/>
      <c r="O160" s="1"/>
    </row>
    <row r="161" spans="2:15">
      <c r="B161" s="55">
        <v>157</v>
      </c>
      <c r="C161" t="s">
        <v>217</v>
      </c>
      <c r="D161" s="85" t="s">
        <v>629</v>
      </c>
      <c r="E161" s="59" t="s">
        <v>1</v>
      </c>
      <c r="F161" s="32">
        <v>4500</v>
      </c>
      <c r="G161" s="56">
        <v>1</v>
      </c>
      <c r="H161" s="32">
        <v>4500</v>
      </c>
      <c r="I161" s="58" t="str">
        <f t="shared" ca="1" si="2"/>
        <v>MV1_EV_27MY_KO</v>
      </c>
      <c r="J161" s="65" t="str" cm="1">
        <f t="array" ref="J161">IF(D161="","",IF(
  COUNTIF($D$5:$D$571, "Infotainment system") &gt; 0,
  VLOOKUP(D161, 챕터!$F$4:$G$100, 2, FALSE),
  IF(
    SUM(COUNTIF($D$5:$D$571, {"Hybrid system overview","Electric vehicle guide","Infotainment system"})) &gt; 0,
    VLOOKUP(D161, 챕터!$D$4:$E$100, 2, FALSE),
    VLOOKUP(D161, 챕터!$B$4:$C$100, 2, FALSE)
  )
))</f>
        <v>Q</v>
      </c>
      <c r="K161" s="57"/>
      <c r="L161"/>
      <c r="M161"/>
      <c r="N161" s="19"/>
      <c r="O161" s="1"/>
    </row>
    <row r="162" spans="2:15">
      <c r="B162" s="55">
        <v>158</v>
      </c>
      <c r="C162" t="s">
        <v>218</v>
      </c>
      <c r="D162" s="85" t="s">
        <v>629</v>
      </c>
      <c r="E162" s="59" t="s">
        <v>1</v>
      </c>
      <c r="F162" s="32">
        <v>4500</v>
      </c>
      <c r="G162" s="56">
        <v>1</v>
      </c>
      <c r="H162" s="32">
        <v>4500</v>
      </c>
      <c r="I162" s="58" t="str">
        <f t="shared" ca="1" si="2"/>
        <v>MV1_EV_27MY_KO</v>
      </c>
      <c r="J162" s="65" t="str" cm="1">
        <f t="array" ref="J162">IF(D162="","",IF(
  COUNTIF($D$5:$D$571, "Infotainment system") &gt; 0,
  VLOOKUP(D162, 챕터!$F$4:$G$100, 2, FALSE),
  IF(
    SUM(COUNTIF($D$5:$D$571, {"Hybrid system overview","Electric vehicle guide","Infotainment system"})) &gt; 0,
    VLOOKUP(D162, 챕터!$D$4:$E$100, 2, FALSE),
    VLOOKUP(D162, 챕터!$B$4:$C$100, 2, FALSE)
  )
))</f>
        <v>Q</v>
      </c>
      <c r="K162" s="57"/>
      <c r="L162"/>
      <c r="M162"/>
      <c r="N162" s="19"/>
      <c r="O162" s="1"/>
    </row>
    <row r="163" spans="2:15">
      <c r="B163" s="55">
        <v>159</v>
      </c>
      <c r="C163" t="s">
        <v>219</v>
      </c>
      <c r="D163" s="85" t="s">
        <v>629</v>
      </c>
      <c r="E163" s="59" t="s">
        <v>1</v>
      </c>
      <c r="F163" s="32">
        <v>4500</v>
      </c>
      <c r="G163" s="56">
        <v>1</v>
      </c>
      <c r="H163" s="32">
        <v>4500</v>
      </c>
      <c r="I163" s="58" t="str">
        <f t="shared" ca="1" si="2"/>
        <v>MV1_EV_27MY_KO</v>
      </c>
      <c r="J163" s="65" t="str" cm="1">
        <f t="array" ref="J163">IF(D163="","",IF(
  COUNTIF($D$5:$D$571, "Infotainment system") &gt; 0,
  VLOOKUP(D163, 챕터!$F$4:$G$100, 2, FALSE),
  IF(
    SUM(COUNTIF($D$5:$D$571, {"Hybrid system overview","Electric vehicle guide","Infotainment system"})) &gt; 0,
    VLOOKUP(D163, 챕터!$D$4:$E$100, 2, FALSE),
    VLOOKUP(D163, 챕터!$B$4:$C$100, 2, FALSE)
  )
))</f>
        <v>Q</v>
      </c>
      <c r="K163" s="57"/>
      <c r="L163"/>
      <c r="M163"/>
      <c r="N163" s="19"/>
      <c r="O163" s="1"/>
    </row>
    <row r="164" spans="2:15">
      <c r="B164" s="55">
        <v>160</v>
      </c>
      <c r="C164" t="s">
        <v>220</v>
      </c>
      <c r="D164" s="85" t="s">
        <v>629</v>
      </c>
      <c r="E164" s="59" t="s">
        <v>1</v>
      </c>
      <c r="F164" s="32">
        <v>4500</v>
      </c>
      <c r="G164" s="56">
        <v>1</v>
      </c>
      <c r="H164" s="32">
        <v>4500</v>
      </c>
      <c r="I164" s="58" t="str">
        <f t="shared" ca="1" si="2"/>
        <v>MV1_EV_27MY_KO</v>
      </c>
      <c r="J164" s="65" t="str" cm="1">
        <f t="array" ref="J164">IF(D164="","",IF(
  COUNTIF($D$5:$D$571, "Infotainment system") &gt; 0,
  VLOOKUP(D164, 챕터!$F$4:$G$100, 2, FALSE),
  IF(
    SUM(COUNTIF($D$5:$D$571, {"Hybrid system overview","Electric vehicle guide","Infotainment system"})) &gt; 0,
    VLOOKUP(D164, 챕터!$D$4:$E$100, 2, FALSE),
    VLOOKUP(D164, 챕터!$B$4:$C$100, 2, FALSE)
  )
))</f>
        <v>Q</v>
      </c>
      <c r="K164" s="57"/>
      <c r="L164"/>
      <c r="M164"/>
      <c r="N164" s="19"/>
      <c r="O164" s="1"/>
    </row>
    <row r="165" spans="2:15">
      <c r="B165" s="55">
        <v>161</v>
      </c>
      <c r="C165" t="s">
        <v>221</v>
      </c>
      <c r="D165" s="85" t="s">
        <v>629</v>
      </c>
      <c r="E165" s="59" t="s">
        <v>1</v>
      </c>
      <c r="F165" s="32">
        <v>4500</v>
      </c>
      <c r="G165" s="56">
        <v>1</v>
      </c>
      <c r="H165" s="32">
        <v>4500</v>
      </c>
      <c r="I165" s="58" t="str">
        <f t="shared" ca="1" si="2"/>
        <v>MV1_EV_27MY_KO</v>
      </c>
      <c r="J165" s="65" t="str" cm="1">
        <f t="array" ref="J165">IF(D165="","",IF(
  COUNTIF($D$5:$D$571, "Infotainment system") &gt; 0,
  VLOOKUP(D165, 챕터!$F$4:$G$100, 2, FALSE),
  IF(
    SUM(COUNTIF($D$5:$D$571, {"Hybrid system overview","Electric vehicle guide","Infotainment system"})) &gt; 0,
    VLOOKUP(D165, 챕터!$D$4:$E$100, 2, FALSE),
    VLOOKUP(D165, 챕터!$B$4:$C$100, 2, FALSE)
  )
))</f>
        <v>Q</v>
      </c>
      <c r="K165" s="57"/>
      <c r="L165"/>
      <c r="M165"/>
      <c r="N165" s="19"/>
      <c r="O165" s="1"/>
    </row>
    <row r="166" spans="2:15">
      <c r="B166" s="55">
        <v>162</v>
      </c>
      <c r="C166" t="s">
        <v>222</v>
      </c>
      <c r="D166" s="85" t="s">
        <v>629</v>
      </c>
      <c r="E166" s="59" t="s">
        <v>1</v>
      </c>
      <c r="F166" s="32">
        <v>4500</v>
      </c>
      <c r="G166" s="56">
        <v>1</v>
      </c>
      <c r="H166" s="32">
        <v>4500</v>
      </c>
      <c r="I166" s="58" t="str">
        <f t="shared" ca="1" si="2"/>
        <v>MV1_EV_27MY_KO</v>
      </c>
      <c r="J166" s="65" t="str" cm="1">
        <f t="array" ref="J166">IF(D166="","",IF(
  COUNTIF($D$5:$D$571, "Infotainment system") &gt; 0,
  VLOOKUP(D166, 챕터!$F$4:$G$100, 2, FALSE),
  IF(
    SUM(COUNTIF($D$5:$D$571, {"Hybrid system overview","Electric vehicle guide","Infotainment system"})) &gt; 0,
    VLOOKUP(D166, 챕터!$D$4:$E$100, 2, FALSE),
    VLOOKUP(D166, 챕터!$B$4:$C$100, 2, FALSE)
  )
))</f>
        <v>Q</v>
      </c>
      <c r="K166" s="57"/>
      <c r="L166"/>
      <c r="M166"/>
      <c r="N166" s="19"/>
      <c r="O166" s="1"/>
    </row>
    <row r="167" spans="2:15">
      <c r="B167" s="55">
        <v>163</v>
      </c>
      <c r="C167" t="s">
        <v>223</v>
      </c>
      <c r="D167" s="85" t="s">
        <v>629</v>
      </c>
      <c r="E167" s="59" t="s">
        <v>1</v>
      </c>
      <c r="F167" s="32">
        <v>4500</v>
      </c>
      <c r="G167" s="56">
        <v>1</v>
      </c>
      <c r="H167" s="32">
        <v>4500</v>
      </c>
      <c r="I167" s="58" t="str">
        <f t="shared" ca="1" si="2"/>
        <v>MV1_EV_27MY_KO</v>
      </c>
      <c r="J167" s="65" t="str" cm="1">
        <f t="array" ref="J167">IF(D167="","",IF(
  COUNTIF($D$5:$D$571, "Infotainment system") &gt; 0,
  VLOOKUP(D167, 챕터!$F$4:$G$100, 2, FALSE),
  IF(
    SUM(COUNTIF($D$5:$D$571, {"Hybrid system overview","Electric vehicle guide","Infotainment system"})) &gt; 0,
    VLOOKUP(D167, 챕터!$D$4:$E$100, 2, FALSE),
    VLOOKUP(D167, 챕터!$B$4:$C$100, 2, FALSE)
  )
))</f>
        <v>Q</v>
      </c>
      <c r="K167" s="57"/>
      <c r="L167"/>
      <c r="M167"/>
      <c r="N167" s="19"/>
      <c r="O167" s="1"/>
    </row>
    <row r="168" spans="2:15">
      <c r="B168" s="55">
        <v>164</v>
      </c>
      <c r="C168" t="s">
        <v>224</v>
      </c>
      <c r="D168" s="85" t="s">
        <v>629</v>
      </c>
      <c r="E168" s="59" t="s">
        <v>1</v>
      </c>
      <c r="F168" s="32">
        <v>4500</v>
      </c>
      <c r="G168" s="56">
        <v>1</v>
      </c>
      <c r="H168" s="32">
        <v>4500</v>
      </c>
      <c r="I168" s="58" t="str">
        <f t="shared" ca="1" si="2"/>
        <v>MV1_EV_27MY_KO</v>
      </c>
      <c r="J168" s="65" t="str" cm="1">
        <f t="array" ref="J168">IF(D168="","",IF(
  COUNTIF($D$5:$D$571, "Infotainment system") &gt; 0,
  VLOOKUP(D168, 챕터!$F$4:$G$100, 2, FALSE),
  IF(
    SUM(COUNTIF($D$5:$D$571, {"Hybrid system overview","Electric vehicle guide","Infotainment system"})) &gt; 0,
    VLOOKUP(D168, 챕터!$D$4:$E$100, 2, FALSE),
    VLOOKUP(D168, 챕터!$B$4:$C$100, 2, FALSE)
  )
))</f>
        <v>Q</v>
      </c>
      <c r="K168" s="57"/>
      <c r="L168"/>
      <c r="M168"/>
      <c r="N168" s="19"/>
      <c r="O168" s="1"/>
    </row>
    <row r="169" spans="2:15">
      <c r="B169" s="55">
        <v>165</v>
      </c>
      <c r="C169" t="s">
        <v>225</v>
      </c>
      <c r="D169" s="85" t="s">
        <v>629</v>
      </c>
      <c r="E169" s="59" t="s">
        <v>1</v>
      </c>
      <c r="F169" s="32">
        <v>4500</v>
      </c>
      <c r="G169" s="56">
        <v>1</v>
      </c>
      <c r="H169" s="32">
        <v>4500</v>
      </c>
      <c r="I169" s="58" t="str">
        <f t="shared" ca="1" si="2"/>
        <v>MV1_EV_27MY_KO</v>
      </c>
      <c r="J169" s="65" t="str" cm="1">
        <f t="array" ref="J169">IF(D169="","",IF(
  COUNTIF($D$5:$D$571, "Infotainment system") &gt; 0,
  VLOOKUP(D169, 챕터!$F$4:$G$100, 2, FALSE),
  IF(
    SUM(COUNTIF($D$5:$D$571, {"Hybrid system overview","Electric vehicle guide","Infotainment system"})) &gt; 0,
    VLOOKUP(D169, 챕터!$D$4:$E$100, 2, FALSE),
    VLOOKUP(D169, 챕터!$B$4:$C$100, 2, FALSE)
  )
))</f>
        <v>Q</v>
      </c>
      <c r="K169" s="57"/>
      <c r="L169"/>
      <c r="M169"/>
      <c r="N169" s="19"/>
      <c r="O169" s="1"/>
    </row>
    <row r="170" spans="2:15">
      <c r="B170" s="55">
        <v>166</v>
      </c>
      <c r="C170" t="s">
        <v>226</v>
      </c>
      <c r="D170" s="85" t="s">
        <v>629</v>
      </c>
      <c r="E170" s="59" t="s">
        <v>1</v>
      </c>
      <c r="F170" s="32">
        <v>4500</v>
      </c>
      <c r="G170" s="56">
        <v>1</v>
      </c>
      <c r="H170" s="32">
        <v>4500</v>
      </c>
      <c r="I170" s="58" t="str">
        <f t="shared" ca="1" si="2"/>
        <v>MV1_EV_27MY_KO</v>
      </c>
      <c r="J170" s="65" t="str" cm="1">
        <f t="array" ref="J170">IF(D170="","",IF(
  COUNTIF($D$5:$D$571, "Infotainment system") &gt; 0,
  VLOOKUP(D170, 챕터!$F$4:$G$100, 2, FALSE),
  IF(
    SUM(COUNTIF($D$5:$D$571, {"Hybrid system overview","Electric vehicle guide","Infotainment system"})) &gt; 0,
    VLOOKUP(D170, 챕터!$D$4:$E$100, 2, FALSE),
    VLOOKUP(D170, 챕터!$B$4:$C$100, 2, FALSE)
  )
))</f>
        <v>Q</v>
      </c>
      <c r="K170" s="57"/>
      <c r="L170"/>
      <c r="M170"/>
      <c r="N170" s="19"/>
      <c r="O170" s="1"/>
    </row>
    <row r="171" spans="2:15">
      <c r="B171" s="55">
        <v>167</v>
      </c>
      <c r="C171" t="s">
        <v>227</v>
      </c>
      <c r="D171" s="85" t="s">
        <v>629</v>
      </c>
      <c r="E171" s="59" t="s">
        <v>1</v>
      </c>
      <c r="F171" s="32">
        <v>4500</v>
      </c>
      <c r="G171" s="56">
        <v>1</v>
      </c>
      <c r="H171" s="32">
        <v>4500</v>
      </c>
      <c r="I171" s="58" t="str">
        <f t="shared" ca="1" si="2"/>
        <v>MV1_EV_27MY_KO</v>
      </c>
      <c r="J171" s="65" t="str" cm="1">
        <f t="array" ref="J171">IF(D171="","",IF(
  COUNTIF($D$5:$D$571, "Infotainment system") &gt; 0,
  VLOOKUP(D171, 챕터!$F$4:$G$100, 2, FALSE),
  IF(
    SUM(COUNTIF($D$5:$D$571, {"Hybrid system overview","Electric vehicle guide","Infotainment system"})) &gt; 0,
    VLOOKUP(D171, 챕터!$D$4:$E$100, 2, FALSE),
    VLOOKUP(D171, 챕터!$B$4:$C$100, 2, FALSE)
  )
))</f>
        <v>Q</v>
      </c>
      <c r="K171" s="57"/>
      <c r="L171"/>
      <c r="M171"/>
      <c r="N171" s="19"/>
      <c r="O171" s="1"/>
    </row>
    <row r="172" spans="2:15">
      <c r="B172" s="55">
        <v>168</v>
      </c>
      <c r="C172" t="s">
        <v>228</v>
      </c>
      <c r="D172" s="85" t="s">
        <v>629</v>
      </c>
      <c r="E172" s="59" t="s">
        <v>1</v>
      </c>
      <c r="F172" s="32">
        <v>4500</v>
      </c>
      <c r="G172" s="56">
        <v>1</v>
      </c>
      <c r="H172" s="32">
        <v>4500</v>
      </c>
      <c r="I172" s="58" t="str">
        <f t="shared" ca="1" si="2"/>
        <v>MV1_EV_27MY_KO</v>
      </c>
      <c r="J172" s="65" t="str" cm="1">
        <f t="array" ref="J172">IF(D172="","",IF(
  COUNTIF($D$5:$D$571, "Infotainment system") &gt; 0,
  VLOOKUP(D172, 챕터!$F$4:$G$100, 2, FALSE),
  IF(
    SUM(COUNTIF($D$5:$D$571, {"Hybrid system overview","Electric vehicle guide","Infotainment system"})) &gt; 0,
    VLOOKUP(D172, 챕터!$D$4:$E$100, 2, FALSE),
    VLOOKUP(D172, 챕터!$B$4:$C$100, 2, FALSE)
  )
))</f>
        <v>Q</v>
      </c>
      <c r="K172" s="57"/>
      <c r="L172"/>
      <c r="M172"/>
      <c r="N172" s="19"/>
      <c r="O172" s="1"/>
    </row>
    <row r="173" spans="2:15">
      <c r="B173" s="55">
        <v>169</v>
      </c>
      <c r="C173" t="s">
        <v>229</v>
      </c>
      <c r="D173" s="85" t="s">
        <v>629</v>
      </c>
      <c r="E173" s="59" t="s">
        <v>1</v>
      </c>
      <c r="F173" s="32">
        <v>4500</v>
      </c>
      <c r="G173" s="56">
        <v>1</v>
      </c>
      <c r="H173" s="32">
        <v>4500</v>
      </c>
      <c r="I173" s="58" t="str">
        <f t="shared" ca="1" si="2"/>
        <v>MV1_EV_27MY_KO</v>
      </c>
      <c r="J173" s="65" t="str" cm="1">
        <f t="array" ref="J173">IF(D173="","",IF(
  COUNTIF($D$5:$D$571, "Infotainment system") &gt; 0,
  VLOOKUP(D173, 챕터!$F$4:$G$100, 2, FALSE),
  IF(
    SUM(COUNTIF($D$5:$D$571, {"Hybrid system overview","Electric vehicle guide","Infotainment system"})) &gt; 0,
    VLOOKUP(D173, 챕터!$D$4:$E$100, 2, FALSE),
    VLOOKUP(D173, 챕터!$B$4:$C$100, 2, FALSE)
  )
))</f>
        <v>Q</v>
      </c>
      <c r="K173" s="57"/>
      <c r="L173"/>
      <c r="M173"/>
      <c r="N173" s="19"/>
      <c r="O173" s="1"/>
    </row>
    <row r="174" spans="2:15">
      <c r="B174" s="55">
        <v>170</v>
      </c>
      <c r="C174" t="s">
        <v>230</v>
      </c>
      <c r="D174" s="85" t="s">
        <v>629</v>
      </c>
      <c r="E174" s="59" t="s">
        <v>1</v>
      </c>
      <c r="F174" s="32">
        <v>4500</v>
      </c>
      <c r="G174" s="56">
        <v>1</v>
      </c>
      <c r="H174" s="32">
        <v>4500</v>
      </c>
      <c r="I174" s="58" t="str">
        <f t="shared" ca="1" si="2"/>
        <v>MV1_EV_27MY_KO</v>
      </c>
      <c r="J174" s="65" t="str" cm="1">
        <f t="array" ref="J174">IF(D174="","",IF(
  COUNTIF($D$5:$D$571, "Infotainment system") &gt; 0,
  VLOOKUP(D174, 챕터!$F$4:$G$100, 2, FALSE),
  IF(
    SUM(COUNTIF($D$5:$D$571, {"Hybrid system overview","Electric vehicle guide","Infotainment system"})) &gt; 0,
    VLOOKUP(D174, 챕터!$D$4:$E$100, 2, FALSE),
    VLOOKUP(D174, 챕터!$B$4:$C$100, 2, FALSE)
  )
))</f>
        <v>Q</v>
      </c>
      <c r="K174" s="57"/>
      <c r="L174"/>
      <c r="M174"/>
      <c r="N174" s="19"/>
      <c r="O174" s="1"/>
    </row>
    <row r="175" spans="2:15">
      <c r="B175" s="55">
        <v>171</v>
      </c>
      <c r="C175" t="s">
        <v>231</v>
      </c>
      <c r="D175" s="85" t="s">
        <v>629</v>
      </c>
      <c r="E175" s="59" t="s">
        <v>1</v>
      </c>
      <c r="F175" s="32">
        <v>4500</v>
      </c>
      <c r="G175" s="56">
        <v>1</v>
      </c>
      <c r="H175" s="32">
        <v>4500</v>
      </c>
      <c r="I175" s="58" t="str">
        <f t="shared" ca="1" si="2"/>
        <v>MV1_EV_27MY_KO</v>
      </c>
      <c r="J175" s="65" t="str" cm="1">
        <f t="array" ref="J175">IF(D175="","",IF(
  COUNTIF($D$5:$D$571, "Infotainment system") &gt; 0,
  VLOOKUP(D175, 챕터!$F$4:$G$100, 2, FALSE),
  IF(
    SUM(COUNTIF($D$5:$D$571, {"Hybrid system overview","Electric vehicle guide","Infotainment system"})) &gt; 0,
    VLOOKUP(D175, 챕터!$D$4:$E$100, 2, FALSE),
    VLOOKUP(D175, 챕터!$B$4:$C$100, 2, FALSE)
  )
))</f>
        <v>Q</v>
      </c>
      <c r="K175" s="57"/>
      <c r="L175"/>
      <c r="M175"/>
      <c r="N175" s="19"/>
      <c r="O175" s="1"/>
    </row>
    <row r="176" spans="2:15">
      <c r="B176" s="55">
        <v>172</v>
      </c>
      <c r="C176" t="s">
        <v>232</v>
      </c>
      <c r="D176" s="85" t="s">
        <v>629</v>
      </c>
      <c r="E176" s="59" t="s">
        <v>1</v>
      </c>
      <c r="F176" s="32">
        <v>4500</v>
      </c>
      <c r="G176" s="56">
        <v>1</v>
      </c>
      <c r="H176" s="32">
        <v>4500</v>
      </c>
      <c r="I176" s="58" t="str">
        <f t="shared" ca="1" si="2"/>
        <v>MV1_EV_27MY_KO</v>
      </c>
      <c r="J176" s="65" t="str" cm="1">
        <f t="array" ref="J176">IF(D176="","",IF(
  COUNTIF($D$5:$D$571, "Infotainment system") &gt; 0,
  VLOOKUP(D176, 챕터!$F$4:$G$100, 2, FALSE),
  IF(
    SUM(COUNTIF($D$5:$D$571, {"Hybrid system overview","Electric vehicle guide","Infotainment system"})) &gt; 0,
    VLOOKUP(D176, 챕터!$D$4:$E$100, 2, FALSE),
    VLOOKUP(D176, 챕터!$B$4:$C$100, 2, FALSE)
  )
))</f>
        <v>Q</v>
      </c>
      <c r="K176" s="57"/>
      <c r="L176"/>
      <c r="M176"/>
      <c r="N176" s="19"/>
      <c r="O176" s="1"/>
    </row>
    <row r="177" spans="2:15">
      <c r="B177" s="55">
        <v>173</v>
      </c>
      <c r="C177" t="s">
        <v>233</v>
      </c>
      <c r="D177" s="85" t="s">
        <v>629</v>
      </c>
      <c r="E177" s="59" t="s">
        <v>1</v>
      </c>
      <c r="F177" s="32">
        <v>4500</v>
      </c>
      <c r="G177" s="56">
        <v>1</v>
      </c>
      <c r="H177" s="32">
        <v>4500</v>
      </c>
      <c r="I177" s="58" t="str">
        <f t="shared" ca="1" si="2"/>
        <v>MV1_EV_27MY_KO</v>
      </c>
      <c r="J177" s="65" t="str" cm="1">
        <f t="array" ref="J177">IF(D177="","",IF(
  COUNTIF($D$5:$D$571, "Infotainment system") &gt; 0,
  VLOOKUP(D177, 챕터!$F$4:$G$100, 2, FALSE),
  IF(
    SUM(COUNTIF($D$5:$D$571, {"Hybrid system overview","Electric vehicle guide","Infotainment system"})) &gt; 0,
    VLOOKUP(D177, 챕터!$D$4:$E$100, 2, FALSE),
    VLOOKUP(D177, 챕터!$B$4:$C$100, 2, FALSE)
  )
))</f>
        <v>Q</v>
      </c>
      <c r="K177" s="57"/>
      <c r="L177"/>
      <c r="M177"/>
      <c r="N177" s="19"/>
      <c r="O177" s="1"/>
    </row>
    <row r="178" spans="2:15">
      <c r="B178" s="55">
        <v>174</v>
      </c>
      <c r="C178" t="s">
        <v>234</v>
      </c>
      <c r="D178" s="85" t="s">
        <v>629</v>
      </c>
      <c r="E178" s="59" t="s">
        <v>1</v>
      </c>
      <c r="F178" s="32">
        <v>4500</v>
      </c>
      <c r="G178" s="56">
        <v>1</v>
      </c>
      <c r="H178" s="32">
        <v>4500</v>
      </c>
      <c r="I178" s="58" t="str">
        <f t="shared" ca="1" si="2"/>
        <v>MV1_EV_27MY_KO</v>
      </c>
      <c r="J178" s="65" t="str" cm="1">
        <f t="array" ref="J178">IF(D178="","",IF(
  COUNTIF($D$5:$D$571, "Infotainment system") &gt; 0,
  VLOOKUP(D178, 챕터!$F$4:$G$100, 2, FALSE),
  IF(
    SUM(COUNTIF($D$5:$D$571, {"Hybrid system overview","Electric vehicle guide","Infotainment system"})) &gt; 0,
    VLOOKUP(D178, 챕터!$D$4:$E$100, 2, FALSE),
    VLOOKUP(D178, 챕터!$B$4:$C$100, 2, FALSE)
  )
))</f>
        <v>Q</v>
      </c>
      <c r="K178" s="57"/>
      <c r="L178"/>
      <c r="M178"/>
      <c r="N178" s="19"/>
      <c r="O178" s="1"/>
    </row>
    <row r="179" spans="2:15">
      <c r="B179" s="55">
        <v>175</v>
      </c>
      <c r="C179" t="s">
        <v>235</v>
      </c>
      <c r="D179" s="85" t="s">
        <v>629</v>
      </c>
      <c r="E179" s="59" t="s">
        <v>1</v>
      </c>
      <c r="F179" s="32">
        <v>4500</v>
      </c>
      <c r="G179" s="56">
        <v>1</v>
      </c>
      <c r="H179" s="32">
        <v>4500</v>
      </c>
      <c r="I179" s="58" t="str">
        <f t="shared" ca="1" si="2"/>
        <v>MV1_EV_27MY_KO</v>
      </c>
      <c r="J179" s="65" t="str" cm="1">
        <f t="array" ref="J179">IF(D179="","",IF(
  COUNTIF($D$5:$D$571, "Infotainment system") &gt; 0,
  VLOOKUP(D179, 챕터!$F$4:$G$100, 2, FALSE),
  IF(
    SUM(COUNTIF($D$5:$D$571, {"Hybrid system overview","Electric vehicle guide","Infotainment system"})) &gt; 0,
    VLOOKUP(D179, 챕터!$D$4:$E$100, 2, FALSE),
    VLOOKUP(D179, 챕터!$B$4:$C$100, 2, FALSE)
  )
))</f>
        <v>Q</v>
      </c>
      <c r="K179" s="57"/>
      <c r="L179"/>
      <c r="M179"/>
      <c r="N179" s="19"/>
      <c r="O179" s="1"/>
    </row>
    <row r="180" spans="2:15">
      <c r="B180" s="55">
        <v>176</v>
      </c>
      <c r="C180" t="s">
        <v>236</v>
      </c>
      <c r="D180" s="85" t="s">
        <v>629</v>
      </c>
      <c r="E180" s="59" t="s">
        <v>1</v>
      </c>
      <c r="F180" s="32">
        <v>4500</v>
      </c>
      <c r="G180" s="56">
        <v>1</v>
      </c>
      <c r="H180" s="32">
        <v>4500</v>
      </c>
      <c r="I180" s="58" t="str">
        <f t="shared" ca="1" si="2"/>
        <v>MV1_EV_27MY_KO</v>
      </c>
      <c r="J180" s="65" t="str" cm="1">
        <f t="array" ref="J180">IF(D180="","",IF(
  COUNTIF($D$5:$D$571, "Infotainment system") &gt; 0,
  VLOOKUP(D180, 챕터!$F$4:$G$100, 2, FALSE),
  IF(
    SUM(COUNTIF($D$5:$D$571, {"Hybrid system overview","Electric vehicle guide","Infotainment system"})) &gt; 0,
    VLOOKUP(D180, 챕터!$D$4:$E$100, 2, FALSE),
    VLOOKUP(D180, 챕터!$B$4:$C$100, 2, FALSE)
  )
))</f>
        <v>Q</v>
      </c>
      <c r="K180" s="57"/>
      <c r="L180"/>
      <c r="M180"/>
      <c r="N180" s="19"/>
      <c r="O180" s="1"/>
    </row>
    <row r="181" spans="2:15">
      <c r="B181" s="55">
        <v>177</v>
      </c>
      <c r="C181" t="s">
        <v>237</v>
      </c>
      <c r="D181" s="85" t="s">
        <v>629</v>
      </c>
      <c r="E181" s="59" t="s">
        <v>1</v>
      </c>
      <c r="F181" s="32">
        <v>4500</v>
      </c>
      <c r="G181" s="56">
        <v>1</v>
      </c>
      <c r="H181" s="32">
        <v>4500</v>
      </c>
      <c r="I181" s="58" t="str">
        <f t="shared" ca="1" si="2"/>
        <v>MV1_EV_27MY_KO</v>
      </c>
      <c r="J181" s="65" t="str" cm="1">
        <f t="array" ref="J181">IF(D181="","",IF(
  COUNTIF($D$5:$D$571, "Infotainment system") &gt; 0,
  VLOOKUP(D181, 챕터!$F$4:$G$100, 2, FALSE),
  IF(
    SUM(COUNTIF($D$5:$D$571, {"Hybrid system overview","Electric vehicle guide","Infotainment system"})) &gt; 0,
    VLOOKUP(D181, 챕터!$D$4:$E$100, 2, FALSE),
    VLOOKUP(D181, 챕터!$B$4:$C$100, 2, FALSE)
  )
))</f>
        <v>Q</v>
      </c>
      <c r="K181" s="57"/>
      <c r="L181"/>
      <c r="M181"/>
      <c r="N181" s="19"/>
      <c r="O181" s="1"/>
    </row>
    <row r="182" spans="2:15">
      <c r="B182" s="55">
        <v>178</v>
      </c>
      <c r="C182" t="s">
        <v>238</v>
      </c>
      <c r="D182" s="85" t="s">
        <v>629</v>
      </c>
      <c r="E182" s="59" t="s">
        <v>1</v>
      </c>
      <c r="F182" s="32">
        <v>4500</v>
      </c>
      <c r="G182" s="56">
        <v>1</v>
      </c>
      <c r="H182" s="32">
        <v>4500</v>
      </c>
      <c r="I182" s="58" t="str">
        <f t="shared" ca="1" si="2"/>
        <v>MV1_EV_27MY_KO</v>
      </c>
      <c r="J182" s="65" t="str" cm="1">
        <f t="array" ref="J182">IF(D182="","",IF(
  COUNTIF($D$5:$D$571, "Infotainment system") &gt; 0,
  VLOOKUP(D182, 챕터!$F$4:$G$100, 2, FALSE),
  IF(
    SUM(COUNTIF($D$5:$D$571, {"Hybrid system overview","Electric vehicle guide","Infotainment system"})) &gt; 0,
    VLOOKUP(D182, 챕터!$D$4:$E$100, 2, FALSE),
    VLOOKUP(D182, 챕터!$B$4:$C$100, 2, FALSE)
  )
))</f>
        <v>Q</v>
      </c>
      <c r="K182" s="57"/>
      <c r="L182"/>
      <c r="M182"/>
      <c r="N182" s="19"/>
      <c r="O182" s="1"/>
    </row>
    <row r="183" spans="2:15">
      <c r="B183" s="55">
        <v>179</v>
      </c>
      <c r="C183" t="s">
        <v>239</v>
      </c>
      <c r="D183" s="85" t="s">
        <v>629</v>
      </c>
      <c r="E183" s="59" t="s">
        <v>1</v>
      </c>
      <c r="F183" s="32">
        <v>4500</v>
      </c>
      <c r="G183" s="56">
        <v>1</v>
      </c>
      <c r="H183" s="32">
        <v>4500</v>
      </c>
      <c r="I183" s="58" t="str">
        <f t="shared" ca="1" si="2"/>
        <v>MV1_EV_27MY_KO</v>
      </c>
      <c r="J183" s="65" t="str" cm="1">
        <f t="array" ref="J183">IF(D183="","",IF(
  COUNTIF($D$5:$D$571, "Infotainment system") &gt; 0,
  VLOOKUP(D183, 챕터!$F$4:$G$100, 2, FALSE),
  IF(
    SUM(COUNTIF($D$5:$D$571, {"Hybrid system overview","Electric vehicle guide","Infotainment system"})) &gt; 0,
    VLOOKUP(D183, 챕터!$D$4:$E$100, 2, FALSE),
    VLOOKUP(D183, 챕터!$B$4:$C$100, 2, FALSE)
  )
))</f>
        <v>Q</v>
      </c>
      <c r="K183" s="57"/>
      <c r="L183"/>
      <c r="M183"/>
      <c r="N183" s="19"/>
      <c r="O183" s="1"/>
    </row>
    <row r="184" spans="2:15">
      <c r="B184" s="55">
        <v>180</v>
      </c>
      <c r="C184" t="s">
        <v>240</v>
      </c>
      <c r="D184" s="85" t="s">
        <v>629</v>
      </c>
      <c r="E184" s="59" t="s">
        <v>1</v>
      </c>
      <c r="F184" s="32">
        <v>4500</v>
      </c>
      <c r="G184" s="56">
        <v>1</v>
      </c>
      <c r="H184" s="32">
        <v>4500</v>
      </c>
      <c r="I184" s="58" t="str">
        <f t="shared" ca="1" si="2"/>
        <v>MV1_EV_27MY_KO</v>
      </c>
      <c r="J184" s="65" t="str" cm="1">
        <f t="array" ref="J184">IF(D184="","",IF(
  COUNTIF($D$5:$D$571, "Infotainment system") &gt; 0,
  VLOOKUP(D184, 챕터!$F$4:$G$100, 2, FALSE),
  IF(
    SUM(COUNTIF($D$5:$D$571, {"Hybrid system overview","Electric vehicle guide","Infotainment system"})) &gt; 0,
    VLOOKUP(D184, 챕터!$D$4:$E$100, 2, FALSE),
    VLOOKUP(D184, 챕터!$B$4:$C$100, 2, FALSE)
  )
))</f>
        <v>Q</v>
      </c>
      <c r="K184" s="57"/>
      <c r="L184"/>
      <c r="M184"/>
      <c r="N184" s="19"/>
      <c r="O184" s="1"/>
    </row>
    <row r="185" spans="2:15">
      <c r="B185" s="55">
        <v>181</v>
      </c>
      <c r="C185" t="s">
        <v>241</v>
      </c>
      <c r="D185" s="85" t="s">
        <v>629</v>
      </c>
      <c r="E185" s="59" t="s">
        <v>1</v>
      </c>
      <c r="F185" s="32">
        <v>4500</v>
      </c>
      <c r="G185" s="56">
        <v>1</v>
      </c>
      <c r="H185" s="32">
        <v>4500</v>
      </c>
      <c r="I185" s="58" t="str">
        <f t="shared" ca="1" si="2"/>
        <v>MV1_EV_27MY_KO</v>
      </c>
      <c r="J185" s="65" t="str" cm="1">
        <f t="array" ref="J185">IF(D185="","",IF(
  COUNTIF($D$5:$D$571, "Infotainment system") &gt; 0,
  VLOOKUP(D185, 챕터!$F$4:$G$100, 2, FALSE),
  IF(
    SUM(COUNTIF($D$5:$D$571, {"Hybrid system overview","Electric vehicle guide","Infotainment system"})) &gt; 0,
    VLOOKUP(D185, 챕터!$D$4:$E$100, 2, FALSE),
    VLOOKUP(D185, 챕터!$B$4:$C$100, 2, FALSE)
  )
))</f>
        <v>Q</v>
      </c>
      <c r="K185" s="57"/>
      <c r="L185"/>
      <c r="M185"/>
      <c r="N185" s="19"/>
      <c r="O185" s="1"/>
    </row>
    <row r="186" spans="2:15">
      <c r="B186" s="55">
        <v>182</v>
      </c>
      <c r="C186" t="s">
        <v>242</v>
      </c>
      <c r="D186" s="85" t="s">
        <v>629</v>
      </c>
      <c r="E186" s="59" t="s">
        <v>1</v>
      </c>
      <c r="F186" s="32">
        <v>4500</v>
      </c>
      <c r="G186" s="56">
        <v>1</v>
      </c>
      <c r="H186" s="32">
        <v>4500</v>
      </c>
      <c r="I186" s="58" t="str">
        <f t="shared" ca="1" si="2"/>
        <v>MV1_EV_27MY_KO</v>
      </c>
      <c r="J186" s="65" t="str" cm="1">
        <f t="array" ref="J186">IF(D186="","",IF(
  COUNTIF($D$5:$D$571, "Infotainment system") &gt; 0,
  VLOOKUP(D186, 챕터!$F$4:$G$100, 2, FALSE),
  IF(
    SUM(COUNTIF($D$5:$D$571, {"Hybrid system overview","Electric vehicle guide","Infotainment system"})) &gt; 0,
    VLOOKUP(D186, 챕터!$D$4:$E$100, 2, FALSE),
    VLOOKUP(D186, 챕터!$B$4:$C$100, 2, FALSE)
  )
))</f>
        <v>Q</v>
      </c>
      <c r="K186" s="57"/>
      <c r="L186"/>
      <c r="M186"/>
      <c r="N186" s="19"/>
      <c r="O186" s="1"/>
    </row>
    <row r="187" spans="2:15">
      <c r="B187" s="55">
        <v>183</v>
      </c>
      <c r="C187" t="s">
        <v>243</v>
      </c>
      <c r="D187" s="85" t="s">
        <v>629</v>
      </c>
      <c r="E187" s="59" t="s">
        <v>1</v>
      </c>
      <c r="F187" s="32">
        <v>4500</v>
      </c>
      <c r="G187" s="56">
        <v>1</v>
      </c>
      <c r="H187" s="32">
        <v>4500</v>
      </c>
      <c r="I187" s="58" t="str">
        <f t="shared" ca="1" si="2"/>
        <v>MV1_EV_27MY_KO</v>
      </c>
      <c r="J187" s="65" t="str" cm="1">
        <f t="array" ref="J187">IF(D187="","",IF(
  COUNTIF($D$5:$D$571, "Infotainment system") &gt; 0,
  VLOOKUP(D187, 챕터!$F$4:$G$100, 2, FALSE),
  IF(
    SUM(COUNTIF($D$5:$D$571, {"Hybrid system overview","Electric vehicle guide","Infotainment system"})) &gt; 0,
    VLOOKUP(D187, 챕터!$D$4:$E$100, 2, FALSE),
    VLOOKUP(D187, 챕터!$B$4:$C$100, 2, FALSE)
  )
))</f>
        <v>Q</v>
      </c>
      <c r="K187" s="57"/>
      <c r="L187"/>
      <c r="M187"/>
      <c r="N187" s="19"/>
      <c r="O187" s="1"/>
    </row>
    <row r="188" spans="2:15">
      <c r="B188" s="55">
        <v>184</v>
      </c>
      <c r="C188" t="s">
        <v>244</v>
      </c>
      <c r="D188" s="85" t="s">
        <v>629</v>
      </c>
      <c r="E188" s="59" t="s">
        <v>1</v>
      </c>
      <c r="F188" s="32">
        <v>4500</v>
      </c>
      <c r="G188" s="56">
        <v>1</v>
      </c>
      <c r="H188" s="32">
        <v>4500</v>
      </c>
      <c r="I188" s="58" t="str">
        <f t="shared" ca="1" si="2"/>
        <v>MV1_EV_27MY_KO</v>
      </c>
      <c r="J188" s="65" t="str" cm="1">
        <f t="array" ref="J188">IF(D188="","",IF(
  COUNTIF($D$5:$D$571, "Infotainment system") &gt; 0,
  VLOOKUP(D188, 챕터!$F$4:$G$100, 2, FALSE),
  IF(
    SUM(COUNTIF($D$5:$D$571, {"Hybrid system overview","Electric vehicle guide","Infotainment system"})) &gt; 0,
    VLOOKUP(D188, 챕터!$D$4:$E$100, 2, FALSE),
    VLOOKUP(D188, 챕터!$B$4:$C$100, 2, FALSE)
  )
))</f>
        <v>Q</v>
      </c>
      <c r="K188" s="57"/>
      <c r="L188"/>
      <c r="M188"/>
      <c r="N188" s="19"/>
      <c r="O188" s="1"/>
    </row>
    <row r="189" spans="2:15">
      <c r="B189" s="55">
        <v>185</v>
      </c>
      <c r="C189" t="s">
        <v>245</v>
      </c>
      <c r="D189" s="85" t="s">
        <v>629</v>
      </c>
      <c r="E189" s="59" t="s">
        <v>1</v>
      </c>
      <c r="F189" s="32">
        <v>4500</v>
      </c>
      <c r="G189" s="56">
        <v>1</v>
      </c>
      <c r="H189" s="32">
        <v>4500</v>
      </c>
      <c r="I189" s="58" t="str">
        <f t="shared" ca="1" si="2"/>
        <v>MV1_EV_27MY_KO</v>
      </c>
      <c r="J189" s="65" t="str" cm="1">
        <f t="array" ref="J189">IF(D189="","",IF(
  COUNTIF($D$5:$D$571, "Infotainment system") &gt; 0,
  VLOOKUP(D189, 챕터!$F$4:$G$100, 2, FALSE),
  IF(
    SUM(COUNTIF($D$5:$D$571, {"Hybrid system overview","Electric vehicle guide","Infotainment system"})) &gt; 0,
    VLOOKUP(D189, 챕터!$D$4:$E$100, 2, FALSE),
    VLOOKUP(D189, 챕터!$B$4:$C$100, 2, FALSE)
  )
))</f>
        <v>Q</v>
      </c>
      <c r="K189" s="57"/>
      <c r="L189"/>
      <c r="M189"/>
      <c r="N189" s="19"/>
      <c r="O189" s="1"/>
    </row>
    <row r="190" spans="2:15">
      <c r="B190" s="55">
        <v>186</v>
      </c>
      <c r="C190" t="s">
        <v>246</v>
      </c>
      <c r="D190" s="85" t="s">
        <v>629</v>
      </c>
      <c r="E190" s="59" t="s">
        <v>1</v>
      </c>
      <c r="F190" s="32">
        <v>4500</v>
      </c>
      <c r="G190" s="56">
        <v>1</v>
      </c>
      <c r="H190" s="32">
        <v>4500</v>
      </c>
      <c r="I190" s="58" t="str">
        <f t="shared" ca="1" si="2"/>
        <v>MV1_EV_27MY_KO</v>
      </c>
      <c r="J190" s="65" t="str" cm="1">
        <f t="array" ref="J190">IF(D190="","",IF(
  COUNTIF($D$5:$D$571, "Infotainment system") &gt; 0,
  VLOOKUP(D190, 챕터!$F$4:$G$100, 2, FALSE),
  IF(
    SUM(COUNTIF($D$5:$D$571, {"Hybrid system overview","Electric vehicle guide","Infotainment system"})) &gt; 0,
    VLOOKUP(D190, 챕터!$D$4:$E$100, 2, FALSE),
    VLOOKUP(D190, 챕터!$B$4:$C$100, 2, FALSE)
  )
))</f>
        <v>Q</v>
      </c>
      <c r="K190" s="57"/>
      <c r="L190"/>
      <c r="M190"/>
      <c r="N190" s="19"/>
      <c r="O190" s="1"/>
    </row>
    <row r="191" spans="2:15">
      <c r="B191" s="55">
        <v>187</v>
      </c>
      <c r="C191" t="s">
        <v>247</v>
      </c>
      <c r="D191" s="85" t="s">
        <v>629</v>
      </c>
      <c r="E191" s="59" t="s">
        <v>1</v>
      </c>
      <c r="F191" s="32">
        <v>4500</v>
      </c>
      <c r="G191" s="56">
        <v>1</v>
      </c>
      <c r="H191" s="32">
        <v>4500</v>
      </c>
      <c r="I191" s="58" t="str">
        <f t="shared" ca="1" si="2"/>
        <v>MV1_EV_27MY_KO</v>
      </c>
      <c r="J191" s="65" t="str" cm="1">
        <f t="array" ref="J191">IF(D191="","",IF(
  COUNTIF($D$5:$D$571, "Infotainment system") &gt; 0,
  VLOOKUP(D191, 챕터!$F$4:$G$100, 2, FALSE),
  IF(
    SUM(COUNTIF($D$5:$D$571, {"Hybrid system overview","Electric vehicle guide","Infotainment system"})) &gt; 0,
    VLOOKUP(D191, 챕터!$D$4:$E$100, 2, FALSE),
    VLOOKUP(D191, 챕터!$B$4:$C$100, 2, FALSE)
  )
))</f>
        <v>Q</v>
      </c>
      <c r="K191" s="57"/>
      <c r="L191"/>
      <c r="M191"/>
      <c r="N191" s="19"/>
      <c r="O191" s="1"/>
    </row>
    <row r="192" spans="2:15">
      <c r="B192" s="55">
        <v>188</v>
      </c>
      <c r="C192" t="s">
        <v>248</v>
      </c>
      <c r="D192" s="85" t="s">
        <v>629</v>
      </c>
      <c r="E192" s="59" t="s">
        <v>1</v>
      </c>
      <c r="F192" s="32">
        <v>4500</v>
      </c>
      <c r="G192" s="56">
        <v>1</v>
      </c>
      <c r="H192" s="32">
        <v>4500</v>
      </c>
      <c r="I192" s="58" t="str">
        <f t="shared" ca="1" si="2"/>
        <v>MV1_EV_27MY_KO</v>
      </c>
      <c r="J192" s="65" t="str" cm="1">
        <f t="array" ref="J192">IF(D192="","",IF(
  COUNTIF($D$5:$D$571, "Infotainment system") &gt; 0,
  VLOOKUP(D192, 챕터!$F$4:$G$100, 2, FALSE),
  IF(
    SUM(COUNTIF($D$5:$D$571, {"Hybrid system overview","Electric vehicle guide","Infotainment system"})) &gt; 0,
    VLOOKUP(D192, 챕터!$D$4:$E$100, 2, FALSE),
    VLOOKUP(D192, 챕터!$B$4:$C$100, 2, FALSE)
  )
))</f>
        <v>Q</v>
      </c>
      <c r="K192" s="57"/>
      <c r="L192"/>
      <c r="M192"/>
      <c r="N192" s="19"/>
      <c r="O192" s="1"/>
    </row>
    <row r="193" spans="2:15">
      <c r="B193" s="55">
        <v>189</v>
      </c>
      <c r="C193" t="s">
        <v>249</v>
      </c>
      <c r="D193" s="85" t="s">
        <v>629</v>
      </c>
      <c r="E193" s="59" t="s">
        <v>1</v>
      </c>
      <c r="F193" s="32">
        <v>4500</v>
      </c>
      <c r="G193" s="56">
        <v>1</v>
      </c>
      <c r="H193" s="32">
        <v>4500</v>
      </c>
      <c r="I193" s="58" t="str">
        <f t="shared" ca="1" si="2"/>
        <v>MV1_EV_27MY_KO</v>
      </c>
      <c r="J193" s="65" t="str" cm="1">
        <f t="array" ref="J193">IF(D193="","",IF(
  COUNTIF($D$5:$D$571, "Infotainment system") &gt; 0,
  VLOOKUP(D193, 챕터!$F$4:$G$100, 2, FALSE),
  IF(
    SUM(COUNTIF($D$5:$D$571, {"Hybrid system overview","Electric vehicle guide","Infotainment system"})) &gt; 0,
    VLOOKUP(D193, 챕터!$D$4:$E$100, 2, FALSE),
    VLOOKUP(D193, 챕터!$B$4:$C$100, 2, FALSE)
  )
))</f>
        <v>Q</v>
      </c>
      <c r="K193" s="57"/>
      <c r="L193"/>
      <c r="M193"/>
      <c r="N193" s="19"/>
      <c r="O193" s="1"/>
    </row>
    <row r="194" spans="2:15">
      <c r="B194" s="55">
        <v>190</v>
      </c>
      <c r="C194" t="s">
        <v>250</v>
      </c>
      <c r="D194" s="85" t="s">
        <v>629</v>
      </c>
      <c r="E194" s="59" t="s">
        <v>1</v>
      </c>
      <c r="F194" s="32">
        <v>4500</v>
      </c>
      <c r="G194" s="56">
        <v>1</v>
      </c>
      <c r="H194" s="32">
        <v>4500</v>
      </c>
      <c r="I194" s="58" t="str">
        <f t="shared" ca="1" si="2"/>
        <v>MV1_EV_27MY_KO</v>
      </c>
      <c r="J194" s="65" t="str" cm="1">
        <f t="array" ref="J194">IF(D194="","",IF(
  COUNTIF($D$5:$D$571, "Infotainment system") &gt; 0,
  VLOOKUP(D194, 챕터!$F$4:$G$100, 2, FALSE),
  IF(
    SUM(COUNTIF($D$5:$D$571, {"Hybrid system overview","Electric vehicle guide","Infotainment system"})) &gt; 0,
    VLOOKUP(D194, 챕터!$D$4:$E$100, 2, FALSE),
    VLOOKUP(D194, 챕터!$B$4:$C$100, 2, FALSE)
  )
))</f>
        <v>Q</v>
      </c>
      <c r="K194" s="57"/>
      <c r="L194"/>
      <c r="M194"/>
      <c r="N194" s="19"/>
      <c r="O194" s="1"/>
    </row>
    <row r="195" spans="2:15">
      <c r="B195" s="55">
        <v>191</v>
      </c>
      <c r="C195" t="s">
        <v>251</v>
      </c>
      <c r="D195" s="85" t="s">
        <v>629</v>
      </c>
      <c r="E195" s="59" t="s">
        <v>1</v>
      </c>
      <c r="F195" s="32">
        <v>4500</v>
      </c>
      <c r="G195" s="56">
        <v>1</v>
      </c>
      <c r="H195" s="32">
        <v>4500</v>
      </c>
      <c r="I195" s="58" t="str">
        <f t="shared" ca="1" si="2"/>
        <v>MV1_EV_27MY_KO</v>
      </c>
      <c r="J195" s="65" t="str" cm="1">
        <f t="array" ref="J195">IF(D195="","",IF(
  COUNTIF($D$5:$D$571, "Infotainment system") &gt; 0,
  VLOOKUP(D195, 챕터!$F$4:$G$100, 2, FALSE),
  IF(
    SUM(COUNTIF($D$5:$D$571, {"Hybrid system overview","Electric vehicle guide","Infotainment system"})) &gt; 0,
    VLOOKUP(D195, 챕터!$D$4:$E$100, 2, FALSE),
    VLOOKUP(D195, 챕터!$B$4:$C$100, 2, FALSE)
  )
))</f>
        <v>Q</v>
      </c>
      <c r="K195" s="57"/>
      <c r="L195"/>
      <c r="M195"/>
      <c r="N195" s="19"/>
      <c r="O195" s="1"/>
    </row>
    <row r="196" spans="2:15">
      <c r="B196" s="55">
        <v>192</v>
      </c>
      <c r="C196" t="s">
        <v>252</v>
      </c>
      <c r="D196" s="85" t="s">
        <v>629</v>
      </c>
      <c r="E196" s="59" t="s">
        <v>1</v>
      </c>
      <c r="F196" s="32">
        <v>4500</v>
      </c>
      <c r="G196" s="56">
        <v>1</v>
      </c>
      <c r="H196" s="32">
        <v>4500</v>
      </c>
      <c r="I196" s="58" t="str">
        <f t="shared" ca="1" si="2"/>
        <v>MV1_EV_27MY_KO</v>
      </c>
      <c r="J196" s="65" t="str" cm="1">
        <f t="array" ref="J196">IF(D196="","",IF(
  COUNTIF($D$5:$D$571, "Infotainment system") &gt; 0,
  VLOOKUP(D196, 챕터!$F$4:$G$100, 2, FALSE),
  IF(
    SUM(COUNTIF($D$5:$D$571, {"Hybrid system overview","Electric vehicle guide","Infotainment system"})) &gt; 0,
    VLOOKUP(D196, 챕터!$D$4:$E$100, 2, FALSE),
    VLOOKUP(D196, 챕터!$B$4:$C$100, 2, FALSE)
  )
))</f>
        <v>Q</v>
      </c>
      <c r="K196" s="57"/>
      <c r="L196"/>
      <c r="M196"/>
      <c r="N196" s="19"/>
      <c r="O196" s="1"/>
    </row>
    <row r="197" spans="2:15">
      <c r="B197" s="55">
        <v>193</v>
      </c>
      <c r="C197" t="s">
        <v>253</v>
      </c>
      <c r="D197" s="85" t="s">
        <v>629</v>
      </c>
      <c r="E197" s="59" t="s">
        <v>1</v>
      </c>
      <c r="F197" s="32">
        <v>4500</v>
      </c>
      <c r="G197" s="56">
        <v>1</v>
      </c>
      <c r="H197" s="32">
        <v>4500</v>
      </c>
      <c r="I197" s="58" t="str">
        <f t="shared" ca="1" si="2"/>
        <v>MV1_EV_27MY_KO</v>
      </c>
      <c r="J197" s="65" t="str" cm="1">
        <f t="array" ref="J197">IF(D197="","",IF(
  COUNTIF($D$5:$D$571, "Infotainment system") &gt; 0,
  VLOOKUP(D197, 챕터!$F$4:$G$100, 2, FALSE),
  IF(
    SUM(COUNTIF($D$5:$D$571, {"Hybrid system overview","Electric vehicle guide","Infotainment system"})) &gt; 0,
    VLOOKUP(D197, 챕터!$D$4:$E$100, 2, FALSE),
    VLOOKUP(D197, 챕터!$B$4:$C$100, 2, FALSE)
  )
))</f>
        <v>Q</v>
      </c>
      <c r="K197" s="57"/>
      <c r="L197"/>
      <c r="M197"/>
      <c r="N197" s="19"/>
      <c r="O197" s="1"/>
    </row>
    <row r="198" spans="2:15">
      <c r="B198" s="55">
        <v>194</v>
      </c>
      <c r="C198" t="s">
        <v>254</v>
      </c>
      <c r="D198" s="85" t="s">
        <v>629</v>
      </c>
      <c r="E198" s="59" t="s">
        <v>1</v>
      </c>
      <c r="F198" s="32">
        <v>4500</v>
      </c>
      <c r="G198" s="56">
        <v>1</v>
      </c>
      <c r="H198" s="32">
        <v>4500</v>
      </c>
      <c r="I198" s="58" t="str">
        <f t="shared" ca="1" si="2"/>
        <v>MV1_EV_27MY_KO</v>
      </c>
      <c r="J198" s="65" t="str" cm="1">
        <f t="array" ref="J198">IF(D198="","",IF(
  COUNTIF($D$5:$D$571, "Infotainment system") &gt; 0,
  VLOOKUP(D198, 챕터!$F$4:$G$100, 2, FALSE),
  IF(
    SUM(COUNTIF($D$5:$D$571, {"Hybrid system overview","Electric vehicle guide","Infotainment system"})) &gt; 0,
    VLOOKUP(D198, 챕터!$D$4:$E$100, 2, FALSE),
    VLOOKUP(D198, 챕터!$B$4:$C$100, 2, FALSE)
  )
))</f>
        <v>Q</v>
      </c>
      <c r="K198" s="57"/>
      <c r="L198"/>
      <c r="M198"/>
      <c r="N198" s="19"/>
      <c r="O198" s="1"/>
    </row>
    <row r="199" spans="2:15">
      <c r="B199" s="55">
        <v>195</v>
      </c>
      <c r="C199" t="s">
        <v>255</v>
      </c>
      <c r="D199" s="85" t="s">
        <v>629</v>
      </c>
      <c r="E199" s="59" t="s">
        <v>1</v>
      </c>
      <c r="F199" s="32">
        <v>4500</v>
      </c>
      <c r="G199" s="56">
        <v>1</v>
      </c>
      <c r="H199" s="32">
        <v>4500</v>
      </c>
      <c r="I199" s="58" t="str">
        <f t="shared" ref="I199:I262" ca="1" si="3">IF(D199="","",$I$5)</f>
        <v>MV1_EV_27MY_KO</v>
      </c>
      <c r="J199" s="65" t="str" cm="1">
        <f t="array" ref="J199">IF(D199="","",IF(
  COUNTIF($D$5:$D$571, "Infotainment system") &gt; 0,
  VLOOKUP(D199, 챕터!$F$4:$G$100, 2, FALSE),
  IF(
    SUM(COUNTIF($D$5:$D$571, {"Hybrid system overview","Electric vehicle guide","Infotainment system"})) &gt; 0,
    VLOOKUP(D199, 챕터!$D$4:$E$100, 2, FALSE),
    VLOOKUP(D199, 챕터!$B$4:$C$100, 2, FALSE)
  )
))</f>
        <v>Q</v>
      </c>
      <c r="K199" s="57"/>
      <c r="L199"/>
      <c r="M199"/>
      <c r="N199" s="19"/>
      <c r="O199" s="1"/>
    </row>
    <row r="200" spans="2:15">
      <c r="B200" s="55">
        <v>196</v>
      </c>
      <c r="C200" t="s">
        <v>256</v>
      </c>
      <c r="D200" s="85" t="s">
        <v>629</v>
      </c>
      <c r="E200" s="59" t="s">
        <v>1</v>
      </c>
      <c r="F200" s="32">
        <v>4500</v>
      </c>
      <c r="G200" s="56">
        <v>1</v>
      </c>
      <c r="H200" s="32">
        <v>4500</v>
      </c>
      <c r="I200" s="58" t="str">
        <f t="shared" ca="1" si="3"/>
        <v>MV1_EV_27MY_KO</v>
      </c>
      <c r="J200" s="65" t="str" cm="1">
        <f t="array" ref="J200">IF(D200="","",IF(
  COUNTIF($D$5:$D$571, "Infotainment system") &gt; 0,
  VLOOKUP(D200, 챕터!$F$4:$G$100, 2, FALSE),
  IF(
    SUM(COUNTIF($D$5:$D$571, {"Hybrid system overview","Electric vehicle guide","Infotainment system"})) &gt; 0,
    VLOOKUP(D200, 챕터!$D$4:$E$100, 2, FALSE),
    VLOOKUP(D200, 챕터!$B$4:$C$100, 2, FALSE)
  )
))</f>
        <v>Q</v>
      </c>
      <c r="K200" s="57"/>
      <c r="L200"/>
      <c r="M200"/>
      <c r="N200" s="19"/>
      <c r="O200" s="1"/>
    </row>
    <row r="201" spans="2:15">
      <c r="B201" s="55">
        <v>197</v>
      </c>
      <c r="C201" t="s">
        <v>257</v>
      </c>
      <c r="D201" s="85" t="s">
        <v>629</v>
      </c>
      <c r="E201" s="59" t="s">
        <v>1</v>
      </c>
      <c r="F201" s="32">
        <v>4500</v>
      </c>
      <c r="G201" s="56">
        <v>1</v>
      </c>
      <c r="H201" s="32">
        <v>4500</v>
      </c>
      <c r="I201" s="58" t="str">
        <f t="shared" ca="1" si="3"/>
        <v>MV1_EV_27MY_KO</v>
      </c>
      <c r="J201" s="65" t="str" cm="1">
        <f t="array" ref="J201">IF(D201="","",IF(
  COUNTIF($D$5:$D$571, "Infotainment system") &gt; 0,
  VLOOKUP(D201, 챕터!$F$4:$G$100, 2, FALSE),
  IF(
    SUM(COUNTIF($D$5:$D$571, {"Hybrid system overview","Electric vehicle guide","Infotainment system"})) &gt; 0,
    VLOOKUP(D201, 챕터!$D$4:$E$100, 2, FALSE),
    VLOOKUP(D201, 챕터!$B$4:$C$100, 2, FALSE)
  )
))</f>
        <v>Q</v>
      </c>
      <c r="K201" s="57"/>
      <c r="L201"/>
      <c r="M201"/>
      <c r="N201" s="19"/>
      <c r="O201" s="1"/>
    </row>
    <row r="202" spans="2:15">
      <c r="B202" s="55">
        <v>198</v>
      </c>
      <c r="C202" t="s">
        <v>258</v>
      </c>
      <c r="D202" s="85" t="s">
        <v>629</v>
      </c>
      <c r="E202" s="59" t="s">
        <v>1</v>
      </c>
      <c r="F202" s="32">
        <v>4500</v>
      </c>
      <c r="G202" s="56">
        <v>1</v>
      </c>
      <c r="H202" s="32">
        <v>4500</v>
      </c>
      <c r="I202" s="58" t="str">
        <f t="shared" ca="1" si="3"/>
        <v>MV1_EV_27MY_KO</v>
      </c>
      <c r="J202" s="65" t="str" cm="1">
        <f t="array" ref="J202">IF(D202="","",IF(
  COUNTIF($D$5:$D$571, "Infotainment system") &gt; 0,
  VLOOKUP(D202, 챕터!$F$4:$G$100, 2, FALSE),
  IF(
    SUM(COUNTIF($D$5:$D$571, {"Hybrid system overview","Electric vehicle guide","Infotainment system"})) &gt; 0,
    VLOOKUP(D202, 챕터!$D$4:$E$100, 2, FALSE),
    VLOOKUP(D202, 챕터!$B$4:$C$100, 2, FALSE)
  )
))</f>
        <v>Q</v>
      </c>
      <c r="K202" s="57"/>
      <c r="L202"/>
      <c r="M202"/>
      <c r="N202" s="19"/>
      <c r="O202" s="1"/>
    </row>
    <row r="203" spans="2:15">
      <c r="B203" s="55">
        <v>199</v>
      </c>
      <c r="C203" t="s">
        <v>259</v>
      </c>
      <c r="D203" s="85" t="s">
        <v>629</v>
      </c>
      <c r="E203" s="59" t="s">
        <v>1</v>
      </c>
      <c r="F203" s="32">
        <v>4500</v>
      </c>
      <c r="G203" s="56">
        <v>1</v>
      </c>
      <c r="H203" s="32">
        <v>4500</v>
      </c>
      <c r="I203" s="58" t="str">
        <f t="shared" ca="1" si="3"/>
        <v>MV1_EV_27MY_KO</v>
      </c>
      <c r="J203" s="65" t="str" cm="1">
        <f t="array" ref="J203">IF(D203="","",IF(
  COUNTIF($D$5:$D$571, "Infotainment system") &gt; 0,
  VLOOKUP(D203, 챕터!$F$4:$G$100, 2, FALSE),
  IF(
    SUM(COUNTIF($D$5:$D$571, {"Hybrid system overview","Electric vehicle guide","Infotainment system"})) &gt; 0,
    VLOOKUP(D203, 챕터!$D$4:$E$100, 2, FALSE),
    VLOOKUP(D203, 챕터!$B$4:$C$100, 2, FALSE)
  )
))</f>
        <v>Q</v>
      </c>
      <c r="K203" s="57"/>
      <c r="L203"/>
      <c r="M203"/>
      <c r="N203" s="19"/>
      <c r="O203" s="1"/>
    </row>
    <row r="204" spans="2:15">
      <c r="B204" s="55">
        <v>200</v>
      </c>
      <c r="C204" t="s">
        <v>260</v>
      </c>
      <c r="D204" s="85" t="s">
        <v>629</v>
      </c>
      <c r="E204" s="59" t="s">
        <v>1</v>
      </c>
      <c r="F204" s="32">
        <v>4500</v>
      </c>
      <c r="G204" s="56">
        <v>1</v>
      </c>
      <c r="H204" s="32">
        <v>4500</v>
      </c>
      <c r="I204" s="58" t="str">
        <f t="shared" ca="1" si="3"/>
        <v>MV1_EV_27MY_KO</v>
      </c>
      <c r="J204" s="65" t="str" cm="1">
        <f t="array" ref="J204">IF(D204="","",IF(
  COUNTIF($D$5:$D$571, "Infotainment system") &gt; 0,
  VLOOKUP(D204, 챕터!$F$4:$G$100, 2, FALSE),
  IF(
    SUM(COUNTIF($D$5:$D$571, {"Hybrid system overview","Electric vehicle guide","Infotainment system"})) &gt; 0,
    VLOOKUP(D204, 챕터!$D$4:$E$100, 2, FALSE),
    VLOOKUP(D204, 챕터!$B$4:$C$100, 2, FALSE)
  )
))</f>
        <v>Q</v>
      </c>
      <c r="K204" s="57"/>
      <c r="L204"/>
      <c r="M204"/>
      <c r="N204" s="19"/>
      <c r="O204" s="1"/>
    </row>
    <row r="205" spans="2:15">
      <c r="B205" s="55">
        <v>201</v>
      </c>
      <c r="C205" t="s">
        <v>261</v>
      </c>
      <c r="D205" s="85" t="s">
        <v>629</v>
      </c>
      <c r="E205" s="59" t="s">
        <v>1</v>
      </c>
      <c r="F205" s="32">
        <v>4500</v>
      </c>
      <c r="G205" s="56">
        <v>1</v>
      </c>
      <c r="H205" s="32">
        <v>4500</v>
      </c>
      <c r="I205" s="58" t="str">
        <f t="shared" ca="1" si="3"/>
        <v>MV1_EV_27MY_KO</v>
      </c>
      <c r="J205" s="65" t="str" cm="1">
        <f t="array" ref="J205">IF(D205="","",IF(
  COUNTIF($D$5:$D$571, "Infotainment system") &gt; 0,
  VLOOKUP(D205, 챕터!$F$4:$G$100, 2, FALSE),
  IF(
    SUM(COUNTIF($D$5:$D$571, {"Hybrid system overview","Electric vehicle guide","Infotainment system"})) &gt; 0,
    VLOOKUP(D205, 챕터!$D$4:$E$100, 2, FALSE),
    VLOOKUP(D205, 챕터!$B$4:$C$100, 2, FALSE)
  )
))</f>
        <v>Q</v>
      </c>
      <c r="K205" s="57"/>
      <c r="L205"/>
      <c r="M205"/>
      <c r="N205" s="19"/>
      <c r="O205" s="1"/>
    </row>
    <row r="206" spans="2:15">
      <c r="B206" s="55">
        <v>202</v>
      </c>
      <c r="C206" t="s">
        <v>262</v>
      </c>
      <c r="D206" s="85" t="s">
        <v>629</v>
      </c>
      <c r="E206" s="59" t="s">
        <v>1</v>
      </c>
      <c r="F206" s="32">
        <v>4500</v>
      </c>
      <c r="G206" s="56">
        <v>1</v>
      </c>
      <c r="H206" s="32">
        <v>4500</v>
      </c>
      <c r="I206" s="58" t="str">
        <f t="shared" ca="1" si="3"/>
        <v>MV1_EV_27MY_KO</v>
      </c>
      <c r="J206" s="65" t="str" cm="1">
        <f t="array" ref="J206">IF(D206="","",IF(
  COUNTIF($D$5:$D$571, "Infotainment system") &gt; 0,
  VLOOKUP(D206, 챕터!$F$4:$G$100, 2, FALSE),
  IF(
    SUM(COUNTIF($D$5:$D$571, {"Hybrid system overview","Electric vehicle guide","Infotainment system"})) &gt; 0,
    VLOOKUP(D206, 챕터!$D$4:$E$100, 2, FALSE),
    VLOOKUP(D206, 챕터!$B$4:$C$100, 2, FALSE)
  )
))</f>
        <v>Q</v>
      </c>
      <c r="K206" s="57"/>
      <c r="L206"/>
      <c r="M206"/>
      <c r="N206" s="19"/>
      <c r="O206" s="1"/>
    </row>
    <row r="207" spans="2:15">
      <c r="B207" s="55">
        <v>203</v>
      </c>
      <c r="C207" t="s">
        <v>263</v>
      </c>
      <c r="D207" s="85" t="s">
        <v>629</v>
      </c>
      <c r="E207" s="59" t="s">
        <v>1</v>
      </c>
      <c r="F207" s="32">
        <v>4500</v>
      </c>
      <c r="G207" s="56">
        <v>1</v>
      </c>
      <c r="H207" s="32">
        <v>4500</v>
      </c>
      <c r="I207" s="58" t="str">
        <f t="shared" ca="1" si="3"/>
        <v>MV1_EV_27MY_KO</v>
      </c>
      <c r="J207" s="65" t="str" cm="1">
        <f t="array" ref="J207">IF(D207="","",IF(
  COUNTIF($D$5:$D$571, "Infotainment system") &gt; 0,
  VLOOKUP(D207, 챕터!$F$4:$G$100, 2, FALSE),
  IF(
    SUM(COUNTIF($D$5:$D$571, {"Hybrid system overview","Electric vehicle guide","Infotainment system"})) &gt; 0,
    VLOOKUP(D207, 챕터!$D$4:$E$100, 2, FALSE),
    VLOOKUP(D207, 챕터!$B$4:$C$100, 2, FALSE)
  )
))</f>
        <v>Q</v>
      </c>
      <c r="K207" s="57"/>
      <c r="L207"/>
      <c r="M207"/>
      <c r="N207" s="19"/>
      <c r="O207" s="1"/>
    </row>
    <row r="208" spans="2:15">
      <c r="B208" s="55">
        <v>204</v>
      </c>
      <c r="C208" t="s">
        <v>264</v>
      </c>
      <c r="D208" s="85" t="s">
        <v>629</v>
      </c>
      <c r="E208" s="59" t="s">
        <v>1</v>
      </c>
      <c r="F208" s="32">
        <v>4500</v>
      </c>
      <c r="G208" s="56">
        <v>1</v>
      </c>
      <c r="H208" s="32">
        <v>4500</v>
      </c>
      <c r="I208" s="58" t="str">
        <f t="shared" ca="1" si="3"/>
        <v>MV1_EV_27MY_KO</v>
      </c>
      <c r="J208" s="65" t="str" cm="1">
        <f t="array" ref="J208">IF(D208="","",IF(
  COUNTIF($D$5:$D$571, "Infotainment system") &gt; 0,
  VLOOKUP(D208, 챕터!$F$4:$G$100, 2, FALSE),
  IF(
    SUM(COUNTIF($D$5:$D$571, {"Hybrid system overview","Electric vehicle guide","Infotainment system"})) &gt; 0,
    VLOOKUP(D208, 챕터!$D$4:$E$100, 2, FALSE),
    VLOOKUP(D208, 챕터!$B$4:$C$100, 2, FALSE)
  )
))</f>
        <v>Q</v>
      </c>
      <c r="K208" s="57"/>
      <c r="L208"/>
      <c r="M208"/>
      <c r="N208" s="19"/>
      <c r="O208" s="1"/>
    </row>
    <row r="209" spans="2:15">
      <c r="B209" s="55">
        <v>205</v>
      </c>
      <c r="C209" t="s">
        <v>265</v>
      </c>
      <c r="D209" s="85" t="s">
        <v>629</v>
      </c>
      <c r="E209" s="59" t="s">
        <v>1</v>
      </c>
      <c r="F209" s="32">
        <v>4500</v>
      </c>
      <c r="G209" s="56">
        <v>1</v>
      </c>
      <c r="H209" s="32">
        <v>4500</v>
      </c>
      <c r="I209" s="58" t="str">
        <f t="shared" ca="1" si="3"/>
        <v>MV1_EV_27MY_KO</v>
      </c>
      <c r="J209" s="65" t="str" cm="1">
        <f t="array" ref="J209">IF(D209="","",IF(
  COUNTIF($D$5:$D$571, "Infotainment system") &gt; 0,
  VLOOKUP(D209, 챕터!$F$4:$G$100, 2, FALSE),
  IF(
    SUM(COUNTIF($D$5:$D$571, {"Hybrid system overview","Electric vehicle guide","Infotainment system"})) &gt; 0,
    VLOOKUP(D209, 챕터!$D$4:$E$100, 2, FALSE),
    VLOOKUP(D209, 챕터!$B$4:$C$100, 2, FALSE)
  )
))</f>
        <v>Q</v>
      </c>
      <c r="K209" s="57"/>
      <c r="L209"/>
      <c r="M209"/>
      <c r="N209" s="19"/>
      <c r="O209" s="1"/>
    </row>
    <row r="210" spans="2:15">
      <c r="B210" s="55">
        <v>206</v>
      </c>
      <c r="C210" t="s">
        <v>266</v>
      </c>
      <c r="D210" s="85" t="s">
        <v>629</v>
      </c>
      <c r="E210" s="59" t="s">
        <v>1</v>
      </c>
      <c r="F210" s="32">
        <v>4500</v>
      </c>
      <c r="G210" s="56">
        <v>1</v>
      </c>
      <c r="H210" s="32">
        <v>4500</v>
      </c>
      <c r="I210" s="58" t="str">
        <f t="shared" ca="1" si="3"/>
        <v>MV1_EV_27MY_KO</v>
      </c>
      <c r="J210" s="65" t="str" cm="1">
        <f t="array" ref="J210">IF(D210="","",IF(
  COUNTIF($D$5:$D$571, "Infotainment system") &gt; 0,
  VLOOKUP(D210, 챕터!$F$4:$G$100, 2, FALSE),
  IF(
    SUM(COUNTIF($D$5:$D$571, {"Hybrid system overview","Electric vehicle guide","Infotainment system"})) &gt; 0,
    VLOOKUP(D210, 챕터!$D$4:$E$100, 2, FALSE),
    VLOOKUP(D210, 챕터!$B$4:$C$100, 2, FALSE)
  )
))</f>
        <v>Q</v>
      </c>
      <c r="K210" s="57"/>
      <c r="L210"/>
      <c r="M210"/>
      <c r="N210" s="19"/>
      <c r="O210" s="1"/>
    </row>
    <row r="211" spans="2:15">
      <c r="B211" s="55">
        <v>207</v>
      </c>
      <c r="C211" t="s">
        <v>267</v>
      </c>
      <c r="D211" s="85" t="s">
        <v>629</v>
      </c>
      <c r="E211" s="59" t="s">
        <v>1</v>
      </c>
      <c r="F211" s="32">
        <v>4500</v>
      </c>
      <c r="G211" s="56">
        <v>1</v>
      </c>
      <c r="H211" s="32">
        <v>4500</v>
      </c>
      <c r="I211" s="58" t="str">
        <f t="shared" ca="1" si="3"/>
        <v>MV1_EV_27MY_KO</v>
      </c>
      <c r="J211" s="65" t="str" cm="1">
        <f t="array" ref="J211">IF(D211="","",IF(
  COUNTIF($D$5:$D$571, "Infotainment system") &gt; 0,
  VLOOKUP(D211, 챕터!$F$4:$G$100, 2, FALSE),
  IF(
    SUM(COUNTIF($D$5:$D$571, {"Hybrid system overview","Electric vehicle guide","Infotainment system"})) &gt; 0,
    VLOOKUP(D211, 챕터!$D$4:$E$100, 2, FALSE),
    VLOOKUP(D211, 챕터!$B$4:$C$100, 2, FALSE)
  )
))</f>
        <v>Q</v>
      </c>
      <c r="K211" s="57"/>
      <c r="L211"/>
      <c r="M211"/>
      <c r="N211" s="19"/>
      <c r="O211" s="1"/>
    </row>
    <row r="212" spans="2:15">
      <c r="B212" s="55">
        <v>208</v>
      </c>
      <c r="C212" t="s">
        <v>268</v>
      </c>
      <c r="D212" s="85" t="s">
        <v>629</v>
      </c>
      <c r="E212" s="59" t="s">
        <v>1</v>
      </c>
      <c r="F212" s="32">
        <v>4500</v>
      </c>
      <c r="G212" s="56">
        <v>1</v>
      </c>
      <c r="H212" s="32">
        <v>4500</v>
      </c>
      <c r="I212" s="58" t="str">
        <f t="shared" ca="1" si="3"/>
        <v>MV1_EV_27MY_KO</v>
      </c>
      <c r="J212" s="65" t="str" cm="1">
        <f t="array" ref="J212">IF(D212="","",IF(
  COUNTIF($D$5:$D$571, "Infotainment system") &gt; 0,
  VLOOKUP(D212, 챕터!$F$4:$G$100, 2, FALSE),
  IF(
    SUM(COUNTIF($D$5:$D$571, {"Hybrid system overview","Electric vehicle guide","Infotainment system"})) &gt; 0,
    VLOOKUP(D212, 챕터!$D$4:$E$100, 2, FALSE),
    VLOOKUP(D212, 챕터!$B$4:$C$100, 2, FALSE)
  )
))</f>
        <v>Q</v>
      </c>
      <c r="K212" s="57"/>
      <c r="L212"/>
      <c r="M212"/>
      <c r="N212" s="19"/>
      <c r="O212" s="1"/>
    </row>
    <row r="213" spans="2:15">
      <c r="B213" s="55">
        <v>209</v>
      </c>
      <c r="C213" t="s">
        <v>269</v>
      </c>
      <c r="D213" s="85" t="s">
        <v>629</v>
      </c>
      <c r="E213" s="59" t="s">
        <v>1</v>
      </c>
      <c r="F213" s="32">
        <v>4500</v>
      </c>
      <c r="G213" s="56">
        <v>1</v>
      </c>
      <c r="H213" s="32">
        <v>4500</v>
      </c>
      <c r="I213" s="58" t="str">
        <f t="shared" ca="1" si="3"/>
        <v>MV1_EV_27MY_KO</v>
      </c>
      <c r="J213" s="65" t="str" cm="1">
        <f t="array" ref="J213">IF(D213="","",IF(
  COUNTIF($D$5:$D$571, "Infotainment system") &gt; 0,
  VLOOKUP(D213, 챕터!$F$4:$G$100, 2, FALSE),
  IF(
    SUM(COUNTIF($D$5:$D$571, {"Hybrid system overview","Electric vehicle guide","Infotainment system"})) &gt; 0,
    VLOOKUP(D213, 챕터!$D$4:$E$100, 2, FALSE),
    VLOOKUP(D213, 챕터!$B$4:$C$100, 2, FALSE)
  )
))</f>
        <v>Q</v>
      </c>
      <c r="K213" s="57"/>
      <c r="L213"/>
      <c r="M213"/>
      <c r="N213" s="19"/>
      <c r="O213" s="1"/>
    </row>
    <row r="214" spans="2:15">
      <c r="B214" s="55">
        <v>210</v>
      </c>
      <c r="C214" t="s">
        <v>270</v>
      </c>
      <c r="D214" s="85" t="s">
        <v>629</v>
      </c>
      <c r="E214" s="59" t="s">
        <v>1</v>
      </c>
      <c r="F214" s="32">
        <v>4500</v>
      </c>
      <c r="G214" s="56">
        <v>1</v>
      </c>
      <c r="H214" s="32">
        <v>4500</v>
      </c>
      <c r="I214" s="58" t="str">
        <f t="shared" ca="1" si="3"/>
        <v>MV1_EV_27MY_KO</v>
      </c>
      <c r="J214" s="65" t="str" cm="1">
        <f t="array" ref="J214">IF(D214="","",IF(
  COUNTIF($D$5:$D$571, "Infotainment system") &gt; 0,
  VLOOKUP(D214, 챕터!$F$4:$G$100, 2, FALSE),
  IF(
    SUM(COUNTIF($D$5:$D$571, {"Hybrid system overview","Electric vehicle guide","Infotainment system"})) &gt; 0,
    VLOOKUP(D214, 챕터!$D$4:$E$100, 2, FALSE),
    VLOOKUP(D214, 챕터!$B$4:$C$100, 2, FALSE)
  )
))</f>
        <v>Q</v>
      </c>
      <c r="K214" s="57"/>
      <c r="L214"/>
      <c r="M214"/>
      <c r="N214" s="19"/>
      <c r="O214" s="1"/>
    </row>
    <row r="215" spans="2:15">
      <c r="B215" s="55">
        <v>211</v>
      </c>
      <c r="C215" t="s">
        <v>271</v>
      </c>
      <c r="D215" s="85" t="s">
        <v>629</v>
      </c>
      <c r="E215" s="59" t="s">
        <v>1</v>
      </c>
      <c r="F215" s="32">
        <v>4500</v>
      </c>
      <c r="G215" s="56">
        <v>1</v>
      </c>
      <c r="H215" s="32">
        <v>4500</v>
      </c>
      <c r="I215" s="58" t="str">
        <f t="shared" ca="1" si="3"/>
        <v>MV1_EV_27MY_KO</v>
      </c>
      <c r="J215" s="65" t="str" cm="1">
        <f t="array" ref="J215">IF(D215="","",IF(
  COUNTIF($D$5:$D$571, "Infotainment system") &gt; 0,
  VLOOKUP(D215, 챕터!$F$4:$G$100, 2, FALSE),
  IF(
    SUM(COUNTIF($D$5:$D$571, {"Hybrid system overview","Electric vehicle guide","Infotainment system"})) &gt; 0,
    VLOOKUP(D215, 챕터!$D$4:$E$100, 2, FALSE),
    VLOOKUP(D215, 챕터!$B$4:$C$100, 2, FALSE)
  )
))</f>
        <v>Q</v>
      </c>
      <c r="K215" s="57"/>
      <c r="L215"/>
      <c r="M215"/>
      <c r="N215" s="19"/>
      <c r="O215" s="1"/>
    </row>
    <row r="216" spans="2:15">
      <c r="B216" s="55">
        <v>212</v>
      </c>
      <c r="C216" t="s">
        <v>272</v>
      </c>
      <c r="D216" s="85" t="s">
        <v>629</v>
      </c>
      <c r="E216" s="59" t="s">
        <v>1</v>
      </c>
      <c r="F216" s="32">
        <v>4500</v>
      </c>
      <c r="G216" s="56">
        <v>1</v>
      </c>
      <c r="H216" s="32">
        <v>4500</v>
      </c>
      <c r="I216" s="58" t="str">
        <f t="shared" ca="1" si="3"/>
        <v>MV1_EV_27MY_KO</v>
      </c>
      <c r="J216" s="65" t="str" cm="1">
        <f t="array" ref="J216">IF(D216="","",IF(
  COUNTIF($D$5:$D$571, "Infotainment system") &gt; 0,
  VLOOKUP(D216, 챕터!$F$4:$G$100, 2, FALSE),
  IF(
    SUM(COUNTIF($D$5:$D$571, {"Hybrid system overview","Electric vehicle guide","Infotainment system"})) &gt; 0,
    VLOOKUP(D216, 챕터!$D$4:$E$100, 2, FALSE),
    VLOOKUP(D216, 챕터!$B$4:$C$100, 2, FALSE)
  )
))</f>
        <v>Q</v>
      </c>
      <c r="K216" s="57"/>
      <c r="L216"/>
      <c r="M216"/>
      <c r="N216" s="19"/>
      <c r="O216" s="1"/>
    </row>
    <row r="217" spans="2:15">
      <c r="B217" s="55">
        <v>213</v>
      </c>
      <c r="C217" t="s">
        <v>273</v>
      </c>
      <c r="D217" s="85" t="s">
        <v>629</v>
      </c>
      <c r="E217" s="59" t="s">
        <v>1</v>
      </c>
      <c r="F217" s="32">
        <v>4500</v>
      </c>
      <c r="G217" s="56">
        <v>1</v>
      </c>
      <c r="H217" s="32">
        <v>4500</v>
      </c>
      <c r="I217" s="58" t="str">
        <f t="shared" ca="1" si="3"/>
        <v>MV1_EV_27MY_KO</v>
      </c>
      <c r="J217" s="65" t="str" cm="1">
        <f t="array" ref="J217">IF(D217="","",IF(
  COUNTIF($D$5:$D$571, "Infotainment system") &gt; 0,
  VLOOKUP(D217, 챕터!$F$4:$G$100, 2, FALSE),
  IF(
    SUM(COUNTIF($D$5:$D$571, {"Hybrid system overview","Electric vehicle guide","Infotainment system"})) &gt; 0,
    VLOOKUP(D217, 챕터!$D$4:$E$100, 2, FALSE),
    VLOOKUP(D217, 챕터!$B$4:$C$100, 2, FALSE)
  )
))</f>
        <v>Q</v>
      </c>
      <c r="K217" s="57"/>
      <c r="L217"/>
      <c r="M217"/>
      <c r="N217" s="19"/>
      <c r="O217" s="1"/>
    </row>
    <row r="218" spans="2:15">
      <c r="B218" s="55">
        <v>214</v>
      </c>
      <c r="C218" t="s">
        <v>274</v>
      </c>
      <c r="D218" s="85" t="s">
        <v>629</v>
      </c>
      <c r="E218" s="59" t="s">
        <v>1</v>
      </c>
      <c r="F218" s="32">
        <v>4500</v>
      </c>
      <c r="G218" s="56">
        <v>1</v>
      </c>
      <c r="H218" s="32">
        <v>4500</v>
      </c>
      <c r="I218" s="58" t="str">
        <f t="shared" ca="1" si="3"/>
        <v>MV1_EV_27MY_KO</v>
      </c>
      <c r="J218" s="65" t="str" cm="1">
        <f t="array" ref="J218">IF(D218="","",IF(
  COUNTIF($D$5:$D$571, "Infotainment system") &gt; 0,
  VLOOKUP(D218, 챕터!$F$4:$G$100, 2, FALSE),
  IF(
    SUM(COUNTIF($D$5:$D$571, {"Hybrid system overview","Electric vehicle guide","Infotainment system"})) &gt; 0,
    VLOOKUP(D218, 챕터!$D$4:$E$100, 2, FALSE),
    VLOOKUP(D218, 챕터!$B$4:$C$100, 2, FALSE)
  )
))</f>
        <v>Q</v>
      </c>
      <c r="K218" s="57"/>
      <c r="L218"/>
      <c r="M218"/>
      <c r="N218" s="19"/>
      <c r="O218" s="1"/>
    </row>
    <row r="219" spans="2:15">
      <c r="B219" s="55">
        <v>215</v>
      </c>
      <c r="C219" t="s">
        <v>275</v>
      </c>
      <c r="D219" s="85" t="s">
        <v>629</v>
      </c>
      <c r="E219" s="59" t="s">
        <v>1</v>
      </c>
      <c r="F219" s="32">
        <v>4500</v>
      </c>
      <c r="G219" s="56">
        <v>1</v>
      </c>
      <c r="H219" s="32">
        <v>4500</v>
      </c>
      <c r="I219" s="58" t="str">
        <f t="shared" ca="1" si="3"/>
        <v>MV1_EV_27MY_KO</v>
      </c>
      <c r="J219" s="65" t="str" cm="1">
        <f t="array" ref="J219">IF(D219="","",IF(
  COUNTIF($D$5:$D$571, "Infotainment system") &gt; 0,
  VLOOKUP(D219, 챕터!$F$4:$G$100, 2, FALSE),
  IF(
    SUM(COUNTIF($D$5:$D$571, {"Hybrid system overview","Electric vehicle guide","Infotainment system"})) &gt; 0,
    VLOOKUP(D219, 챕터!$D$4:$E$100, 2, FALSE),
    VLOOKUP(D219, 챕터!$B$4:$C$100, 2, FALSE)
  )
))</f>
        <v>Q</v>
      </c>
      <c r="K219" s="57"/>
      <c r="L219"/>
      <c r="M219"/>
      <c r="N219" s="19"/>
      <c r="O219" s="1"/>
    </row>
    <row r="220" spans="2:15">
      <c r="B220" s="55">
        <v>216</v>
      </c>
      <c r="C220" t="s">
        <v>276</v>
      </c>
      <c r="D220" s="85" t="s">
        <v>23</v>
      </c>
      <c r="E220" s="59" t="s">
        <v>1</v>
      </c>
      <c r="F220" s="32">
        <v>4500</v>
      </c>
      <c r="G220" s="56">
        <v>1</v>
      </c>
      <c r="H220" s="32">
        <v>4500</v>
      </c>
      <c r="I220" s="58" t="str">
        <f t="shared" ca="1" si="3"/>
        <v>MV1_EV_27MY_KO</v>
      </c>
      <c r="J220" s="65" cm="1">
        <f t="array" ref="J220">IF(D220="","",IF(
  COUNTIF($D$5:$D$571, "Infotainment system") &gt; 0,
  VLOOKUP(D220, 챕터!$F$4:$G$100, 2, FALSE),
  IF(
    SUM(COUNTIF($D$5:$D$571, {"Hybrid system overview","Electric vehicle guide","Infotainment system"})) &gt; 0,
    VLOOKUP(D220, 챕터!$D$4:$E$100, 2, FALSE),
    VLOOKUP(D220, 챕터!$B$4:$C$100, 2, FALSE)
  )
))</f>
        <v>2</v>
      </c>
      <c r="K220" s="57"/>
      <c r="L220"/>
      <c r="M220"/>
      <c r="N220" s="19"/>
      <c r="O220" s="1"/>
    </row>
    <row r="221" spans="2:15">
      <c r="B221" s="55">
        <v>217</v>
      </c>
      <c r="C221" t="s">
        <v>277</v>
      </c>
      <c r="D221" s="85" t="s">
        <v>23</v>
      </c>
      <c r="E221" s="59" t="s">
        <v>1</v>
      </c>
      <c r="F221" s="32">
        <v>4500</v>
      </c>
      <c r="G221" s="56">
        <v>1</v>
      </c>
      <c r="H221" s="32">
        <v>4500</v>
      </c>
      <c r="I221" s="58" t="str">
        <f t="shared" ca="1" si="3"/>
        <v>MV1_EV_27MY_KO</v>
      </c>
      <c r="J221" s="65" cm="1">
        <f t="array" ref="J221">IF(D221="","",IF(
  COUNTIF($D$5:$D$571, "Infotainment system") &gt; 0,
  VLOOKUP(D221, 챕터!$F$4:$G$100, 2, FALSE),
  IF(
    SUM(COUNTIF($D$5:$D$571, {"Hybrid system overview","Electric vehicle guide","Infotainment system"})) &gt; 0,
    VLOOKUP(D221, 챕터!$D$4:$E$100, 2, FALSE),
    VLOOKUP(D221, 챕터!$B$4:$C$100, 2, FALSE)
  )
))</f>
        <v>2</v>
      </c>
      <c r="K221" s="57"/>
      <c r="L221"/>
      <c r="M221"/>
      <c r="N221" s="19"/>
      <c r="O221" s="1"/>
    </row>
    <row r="222" spans="2:15">
      <c r="B222" s="55">
        <v>218</v>
      </c>
      <c r="C222" t="s">
        <v>278</v>
      </c>
      <c r="D222" s="85" t="s">
        <v>23</v>
      </c>
      <c r="E222" s="59" t="s">
        <v>1</v>
      </c>
      <c r="F222" s="32">
        <v>4500</v>
      </c>
      <c r="G222" s="56">
        <v>1</v>
      </c>
      <c r="H222" s="32">
        <v>4500</v>
      </c>
      <c r="I222" s="58" t="str">
        <f t="shared" ca="1" si="3"/>
        <v>MV1_EV_27MY_KO</v>
      </c>
      <c r="J222" s="65" cm="1">
        <f t="array" ref="J222">IF(D222="","",IF(
  COUNTIF($D$5:$D$571, "Infotainment system") &gt; 0,
  VLOOKUP(D222, 챕터!$F$4:$G$100, 2, FALSE),
  IF(
    SUM(COUNTIF($D$5:$D$571, {"Hybrid system overview","Electric vehicle guide","Infotainment system"})) &gt; 0,
    VLOOKUP(D222, 챕터!$D$4:$E$100, 2, FALSE),
    VLOOKUP(D222, 챕터!$B$4:$C$100, 2, FALSE)
  )
))</f>
        <v>2</v>
      </c>
      <c r="K222" s="57"/>
      <c r="L222"/>
      <c r="M222"/>
      <c r="N222" s="19"/>
      <c r="O222" s="1"/>
    </row>
    <row r="223" spans="2:15">
      <c r="B223" s="55">
        <v>219</v>
      </c>
      <c r="C223" t="s">
        <v>279</v>
      </c>
      <c r="D223" s="85" t="s">
        <v>23</v>
      </c>
      <c r="E223" s="59" t="s">
        <v>1</v>
      </c>
      <c r="F223" s="32">
        <v>4500</v>
      </c>
      <c r="G223" s="56">
        <v>1</v>
      </c>
      <c r="H223" s="32">
        <v>4500</v>
      </c>
      <c r="I223" s="58" t="str">
        <f t="shared" ca="1" si="3"/>
        <v>MV1_EV_27MY_KO</v>
      </c>
      <c r="J223" s="65" cm="1">
        <f t="array" ref="J223">IF(D223="","",IF(
  COUNTIF($D$5:$D$571, "Infotainment system") &gt; 0,
  VLOOKUP(D223, 챕터!$F$4:$G$100, 2, FALSE),
  IF(
    SUM(COUNTIF($D$5:$D$571, {"Hybrid system overview","Electric vehicle guide","Infotainment system"})) &gt; 0,
    VLOOKUP(D223, 챕터!$D$4:$E$100, 2, FALSE),
    VLOOKUP(D223, 챕터!$B$4:$C$100, 2, FALSE)
  )
))</f>
        <v>2</v>
      </c>
      <c r="K223" s="57"/>
      <c r="L223"/>
      <c r="M223"/>
      <c r="N223" s="19"/>
      <c r="O223" s="1"/>
    </row>
    <row r="224" spans="2:15">
      <c r="B224" s="55">
        <v>220</v>
      </c>
      <c r="C224" t="s">
        <v>280</v>
      </c>
      <c r="D224" s="85" t="s">
        <v>23</v>
      </c>
      <c r="E224" s="59" t="s">
        <v>1</v>
      </c>
      <c r="F224" s="32">
        <v>4500</v>
      </c>
      <c r="G224" s="56">
        <v>1</v>
      </c>
      <c r="H224" s="32">
        <v>4500</v>
      </c>
      <c r="I224" s="58" t="str">
        <f t="shared" ca="1" si="3"/>
        <v>MV1_EV_27MY_KO</v>
      </c>
      <c r="J224" s="65" cm="1">
        <f t="array" ref="J224">IF(D224="","",IF(
  COUNTIF($D$5:$D$571, "Infotainment system") &gt; 0,
  VLOOKUP(D224, 챕터!$F$4:$G$100, 2, FALSE),
  IF(
    SUM(COUNTIF($D$5:$D$571, {"Hybrid system overview","Electric vehicle guide","Infotainment system"})) &gt; 0,
    VLOOKUP(D224, 챕터!$D$4:$E$100, 2, FALSE),
    VLOOKUP(D224, 챕터!$B$4:$C$100, 2, FALSE)
  )
))</f>
        <v>2</v>
      </c>
      <c r="K224" s="57"/>
      <c r="L224"/>
      <c r="M224"/>
      <c r="N224" s="19"/>
      <c r="O224" s="1"/>
    </row>
    <row r="225" spans="2:15">
      <c r="B225" s="55">
        <v>221</v>
      </c>
      <c r="C225" t="s">
        <v>281</v>
      </c>
      <c r="D225" s="85" t="s">
        <v>23</v>
      </c>
      <c r="E225" s="59" t="s">
        <v>1</v>
      </c>
      <c r="F225" s="32">
        <v>4500</v>
      </c>
      <c r="G225" s="56">
        <v>1</v>
      </c>
      <c r="H225" s="32">
        <v>4500</v>
      </c>
      <c r="I225" s="58" t="str">
        <f t="shared" ca="1" si="3"/>
        <v>MV1_EV_27MY_KO</v>
      </c>
      <c r="J225" s="65" cm="1">
        <f t="array" ref="J225">IF(D225="","",IF(
  COUNTIF($D$5:$D$571, "Infotainment system") &gt; 0,
  VLOOKUP(D225, 챕터!$F$4:$G$100, 2, FALSE),
  IF(
    SUM(COUNTIF($D$5:$D$571, {"Hybrid system overview","Electric vehicle guide","Infotainment system"})) &gt; 0,
    VLOOKUP(D225, 챕터!$D$4:$E$100, 2, FALSE),
    VLOOKUP(D225, 챕터!$B$4:$C$100, 2, FALSE)
  )
))</f>
        <v>2</v>
      </c>
      <c r="K225" s="57"/>
      <c r="L225"/>
      <c r="M225"/>
      <c r="N225" s="19"/>
      <c r="O225" s="1"/>
    </row>
    <row r="226" spans="2:15">
      <c r="B226" s="55">
        <v>222</v>
      </c>
      <c r="C226" t="s">
        <v>282</v>
      </c>
      <c r="D226" s="85" t="s">
        <v>23</v>
      </c>
      <c r="E226" s="59" t="s">
        <v>1</v>
      </c>
      <c r="F226" s="32">
        <v>4500</v>
      </c>
      <c r="G226" s="56">
        <v>1</v>
      </c>
      <c r="H226" s="32">
        <v>4500</v>
      </c>
      <c r="I226" s="58" t="str">
        <f t="shared" ca="1" si="3"/>
        <v>MV1_EV_27MY_KO</v>
      </c>
      <c r="J226" s="65" cm="1">
        <f t="array" ref="J226">IF(D226="","",IF(
  COUNTIF($D$5:$D$571, "Infotainment system") &gt; 0,
  VLOOKUP(D226, 챕터!$F$4:$G$100, 2, FALSE),
  IF(
    SUM(COUNTIF($D$5:$D$571, {"Hybrid system overview","Electric vehicle guide","Infotainment system"})) &gt; 0,
    VLOOKUP(D226, 챕터!$D$4:$E$100, 2, FALSE),
    VLOOKUP(D226, 챕터!$B$4:$C$100, 2, FALSE)
  )
))</f>
        <v>2</v>
      </c>
      <c r="K226" s="57"/>
      <c r="L226"/>
      <c r="M226"/>
      <c r="N226" s="19"/>
      <c r="O226" s="1"/>
    </row>
    <row r="227" spans="2:15">
      <c r="B227" s="55">
        <v>223</v>
      </c>
      <c r="C227" t="s">
        <v>283</v>
      </c>
      <c r="D227" s="85" t="s">
        <v>23</v>
      </c>
      <c r="E227" s="59" t="s">
        <v>1</v>
      </c>
      <c r="F227" s="32">
        <v>4500</v>
      </c>
      <c r="G227" s="56">
        <v>1</v>
      </c>
      <c r="H227" s="32">
        <v>4500</v>
      </c>
      <c r="I227" s="58" t="str">
        <f t="shared" ca="1" si="3"/>
        <v>MV1_EV_27MY_KO</v>
      </c>
      <c r="J227" s="65" cm="1">
        <f t="array" ref="J227">IF(D227="","",IF(
  COUNTIF($D$5:$D$571, "Infotainment system") &gt; 0,
  VLOOKUP(D227, 챕터!$F$4:$G$100, 2, FALSE),
  IF(
    SUM(COUNTIF($D$5:$D$571, {"Hybrid system overview","Electric vehicle guide","Infotainment system"})) &gt; 0,
    VLOOKUP(D227, 챕터!$D$4:$E$100, 2, FALSE),
    VLOOKUP(D227, 챕터!$B$4:$C$100, 2, FALSE)
  )
))</f>
        <v>2</v>
      </c>
      <c r="K227" s="57"/>
      <c r="L227"/>
      <c r="M227"/>
      <c r="N227" s="19"/>
      <c r="O227" s="1"/>
    </row>
    <row r="228" spans="2:15">
      <c r="B228" s="55">
        <v>224</v>
      </c>
      <c r="C228" t="s">
        <v>284</v>
      </c>
      <c r="D228" s="85" t="s">
        <v>23</v>
      </c>
      <c r="E228" s="59" t="s">
        <v>1</v>
      </c>
      <c r="F228" s="32">
        <v>4500</v>
      </c>
      <c r="G228" s="56">
        <v>1</v>
      </c>
      <c r="H228" s="32">
        <v>4500</v>
      </c>
      <c r="I228" s="58" t="str">
        <f t="shared" ca="1" si="3"/>
        <v>MV1_EV_27MY_KO</v>
      </c>
      <c r="J228" s="65" cm="1">
        <f t="array" ref="J228">IF(D228="","",IF(
  COUNTIF($D$5:$D$571, "Infotainment system") &gt; 0,
  VLOOKUP(D228, 챕터!$F$4:$G$100, 2, FALSE),
  IF(
    SUM(COUNTIF($D$5:$D$571, {"Hybrid system overview","Electric vehicle guide","Infotainment system"})) &gt; 0,
    VLOOKUP(D228, 챕터!$D$4:$E$100, 2, FALSE),
    VLOOKUP(D228, 챕터!$B$4:$C$100, 2, FALSE)
  )
))</f>
        <v>2</v>
      </c>
      <c r="K228" s="57"/>
      <c r="L228"/>
      <c r="M228"/>
      <c r="N228" s="19"/>
      <c r="O228" s="1"/>
    </row>
    <row r="229" spans="2:15">
      <c r="B229" s="55">
        <v>225</v>
      </c>
      <c r="C229" t="s">
        <v>285</v>
      </c>
      <c r="D229" s="85" t="s">
        <v>23</v>
      </c>
      <c r="E229" s="59" t="s">
        <v>1</v>
      </c>
      <c r="F229" s="32">
        <v>4500</v>
      </c>
      <c r="G229" s="56">
        <v>1</v>
      </c>
      <c r="H229" s="32">
        <v>4500</v>
      </c>
      <c r="I229" s="58" t="str">
        <f t="shared" ca="1" si="3"/>
        <v>MV1_EV_27MY_KO</v>
      </c>
      <c r="J229" s="65" cm="1">
        <f t="array" ref="J229">IF(D229="","",IF(
  COUNTIF($D$5:$D$571, "Infotainment system") &gt; 0,
  VLOOKUP(D229, 챕터!$F$4:$G$100, 2, FALSE),
  IF(
    SUM(COUNTIF($D$5:$D$571, {"Hybrid system overview","Electric vehicle guide","Infotainment system"})) &gt; 0,
    VLOOKUP(D229, 챕터!$D$4:$E$100, 2, FALSE),
    VLOOKUP(D229, 챕터!$B$4:$C$100, 2, FALSE)
  )
))</f>
        <v>2</v>
      </c>
      <c r="K229" s="57"/>
      <c r="L229"/>
      <c r="M229"/>
      <c r="N229" s="19"/>
      <c r="O229" s="1"/>
    </row>
    <row r="230" spans="2:15">
      <c r="B230" s="55">
        <v>226</v>
      </c>
      <c r="C230" t="s">
        <v>286</v>
      </c>
      <c r="D230" s="85" t="s">
        <v>23</v>
      </c>
      <c r="E230" s="59" t="s">
        <v>1</v>
      </c>
      <c r="F230" s="32">
        <v>4500</v>
      </c>
      <c r="G230" s="56">
        <v>1</v>
      </c>
      <c r="H230" s="32">
        <v>4500</v>
      </c>
      <c r="I230" s="58" t="str">
        <f t="shared" ca="1" si="3"/>
        <v>MV1_EV_27MY_KO</v>
      </c>
      <c r="J230" s="65" cm="1">
        <f t="array" ref="J230">IF(D230="","",IF(
  COUNTIF($D$5:$D$571, "Infotainment system") &gt; 0,
  VLOOKUP(D230, 챕터!$F$4:$G$100, 2, FALSE),
  IF(
    SUM(COUNTIF($D$5:$D$571, {"Hybrid system overview","Electric vehicle guide","Infotainment system"})) &gt; 0,
    VLOOKUP(D230, 챕터!$D$4:$E$100, 2, FALSE),
    VLOOKUP(D230, 챕터!$B$4:$C$100, 2, FALSE)
  )
))</f>
        <v>2</v>
      </c>
      <c r="K230" s="57"/>
      <c r="L230"/>
      <c r="M230"/>
      <c r="N230" s="19"/>
      <c r="O230" s="1"/>
    </row>
    <row r="231" spans="2:15">
      <c r="B231" s="55">
        <v>227</v>
      </c>
      <c r="C231" t="s">
        <v>287</v>
      </c>
      <c r="D231" s="85" t="s">
        <v>23</v>
      </c>
      <c r="E231" s="59" t="s">
        <v>1</v>
      </c>
      <c r="F231" s="32">
        <v>4500</v>
      </c>
      <c r="G231" s="56">
        <v>1</v>
      </c>
      <c r="H231" s="32">
        <v>4500</v>
      </c>
      <c r="I231" s="58" t="str">
        <f t="shared" ca="1" si="3"/>
        <v>MV1_EV_27MY_KO</v>
      </c>
      <c r="J231" s="65" cm="1">
        <f t="array" ref="J231">IF(D231="","",IF(
  COUNTIF($D$5:$D$571, "Infotainment system") &gt; 0,
  VLOOKUP(D231, 챕터!$F$4:$G$100, 2, FALSE),
  IF(
    SUM(COUNTIF($D$5:$D$571, {"Hybrid system overview","Electric vehicle guide","Infotainment system"})) &gt; 0,
    VLOOKUP(D231, 챕터!$D$4:$E$100, 2, FALSE),
    VLOOKUP(D231, 챕터!$B$4:$C$100, 2, FALSE)
  )
))</f>
        <v>2</v>
      </c>
      <c r="K231" s="57"/>
      <c r="L231"/>
      <c r="M231"/>
      <c r="N231" s="19"/>
      <c r="O231" s="1"/>
    </row>
    <row r="232" spans="2:15">
      <c r="B232" s="55">
        <v>228</v>
      </c>
      <c r="C232" t="s">
        <v>288</v>
      </c>
      <c r="D232" s="85" t="s">
        <v>23</v>
      </c>
      <c r="E232" s="59" t="s">
        <v>1</v>
      </c>
      <c r="F232" s="32">
        <v>4500</v>
      </c>
      <c r="G232" s="56">
        <v>1</v>
      </c>
      <c r="H232" s="32">
        <v>4500</v>
      </c>
      <c r="I232" s="58" t="str">
        <f t="shared" ca="1" si="3"/>
        <v>MV1_EV_27MY_KO</v>
      </c>
      <c r="J232" s="65" cm="1">
        <f t="array" ref="J232">IF(D232="","",IF(
  COUNTIF($D$5:$D$571, "Infotainment system") &gt; 0,
  VLOOKUP(D232, 챕터!$F$4:$G$100, 2, FALSE),
  IF(
    SUM(COUNTIF($D$5:$D$571, {"Hybrid system overview","Electric vehicle guide","Infotainment system"})) &gt; 0,
    VLOOKUP(D232, 챕터!$D$4:$E$100, 2, FALSE),
    VLOOKUP(D232, 챕터!$B$4:$C$100, 2, FALSE)
  )
))</f>
        <v>2</v>
      </c>
      <c r="K232" s="57"/>
      <c r="L232"/>
      <c r="M232"/>
      <c r="N232" s="19"/>
      <c r="O232" s="1"/>
    </row>
    <row r="233" spans="2:15">
      <c r="B233" s="55">
        <v>229</v>
      </c>
      <c r="C233" t="s">
        <v>289</v>
      </c>
      <c r="D233" s="85" t="s">
        <v>23</v>
      </c>
      <c r="E233" s="59" t="s">
        <v>1</v>
      </c>
      <c r="F233" s="32">
        <v>4500</v>
      </c>
      <c r="G233" s="56">
        <v>1</v>
      </c>
      <c r="H233" s="32">
        <v>4500</v>
      </c>
      <c r="I233" s="58" t="str">
        <f t="shared" ca="1" si="3"/>
        <v>MV1_EV_27MY_KO</v>
      </c>
      <c r="J233" s="65" cm="1">
        <f t="array" ref="J233">IF(D233="","",IF(
  COUNTIF($D$5:$D$571, "Infotainment system") &gt; 0,
  VLOOKUP(D233, 챕터!$F$4:$G$100, 2, FALSE),
  IF(
    SUM(COUNTIF($D$5:$D$571, {"Hybrid system overview","Electric vehicle guide","Infotainment system"})) &gt; 0,
    VLOOKUP(D233, 챕터!$D$4:$E$100, 2, FALSE),
    VLOOKUP(D233, 챕터!$B$4:$C$100, 2, FALSE)
  )
))</f>
        <v>2</v>
      </c>
      <c r="K233" s="57"/>
      <c r="L233"/>
      <c r="M233"/>
      <c r="N233" s="19"/>
      <c r="O233" s="1"/>
    </row>
    <row r="234" spans="2:15">
      <c r="B234" s="55">
        <v>230</v>
      </c>
      <c r="C234" t="s">
        <v>290</v>
      </c>
      <c r="D234" s="85" t="s">
        <v>23</v>
      </c>
      <c r="E234" s="59" t="s">
        <v>1</v>
      </c>
      <c r="F234" s="32">
        <v>4500</v>
      </c>
      <c r="G234" s="56">
        <v>1</v>
      </c>
      <c r="H234" s="32">
        <v>4500</v>
      </c>
      <c r="I234" s="58" t="str">
        <f t="shared" ca="1" si="3"/>
        <v>MV1_EV_27MY_KO</v>
      </c>
      <c r="J234" s="65" cm="1">
        <f t="array" ref="J234">IF(D234="","",IF(
  COUNTIF($D$5:$D$571, "Infotainment system") &gt; 0,
  VLOOKUP(D234, 챕터!$F$4:$G$100, 2, FALSE),
  IF(
    SUM(COUNTIF($D$5:$D$571, {"Hybrid system overview","Electric vehicle guide","Infotainment system"})) &gt; 0,
    VLOOKUP(D234, 챕터!$D$4:$E$100, 2, FALSE),
    VLOOKUP(D234, 챕터!$B$4:$C$100, 2, FALSE)
  )
))</f>
        <v>2</v>
      </c>
      <c r="K234" s="57"/>
      <c r="L234"/>
      <c r="M234"/>
      <c r="N234" s="19"/>
      <c r="O234" s="1"/>
    </row>
    <row r="235" spans="2:15">
      <c r="B235" s="55">
        <v>231</v>
      </c>
      <c r="C235" t="s">
        <v>291</v>
      </c>
      <c r="D235" s="85" t="s">
        <v>23</v>
      </c>
      <c r="E235" s="59" t="s">
        <v>1</v>
      </c>
      <c r="F235" s="32">
        <v>4500</v>
      </c>
      <c r="G235" s="56">
        <v>1</v>
      </c>
      <c r="H235" s="32">
        <v>4500</v>
      </c>
      <c r="I235" s="58" t="str">
        <f t="shared" ca="1" si="3"/>
        <v>MV1_EV_27MY_KO</v>
      </c>
      <c r="J235" s="65" cm="1">
        <f t="array" ref="J235">IF(D235="","",IF(
  COUNTIF($D$5:$D$571, "Infotainment system") &gt; 0,
  VLOOKUP(D235, 챕터!$F$4:$G$100, 2, FALSE),
  IF(
    SUM(COUNTIF($D$5:$D$571, {"Hybrid system overview","Electric vehicle guide","Infotainment system"})) &gt; 0,
    VLOOKUP(D235, 챕터!$D$4:$E$100, 2, FALSE),
    VLOOKUP(D235, 챕터!$B$4:$C$100, 2, FALSE)
  )
))</f>
        <v>2</v>
      </c>
      <c r="K235" s="57"/>
      <c r="L235"/>
      <c r="M235"/>
      <c r="N235" s="19"/>
      <c r="O235" s="1"/>
    </row>
    <row r="236" spans="2:15">
      <c r="B236" s="55">
        <v>232</v>
      </c>
      <c r="C236" t="s">
        <v>292</v>
      </c>
      <c r="D236" s="85" t="s">
        <v>23</v>
      </c>
      <c r="E236" s="59" t="s">
        <v>1</v>
      </c>
      <c r="F236" s="32">
        <v>4500</v>
      </c>
      <c r="G236" s="56">
        <v>1</v>
      </c>
      <c r="H236" s="32">
        <v>4500</v>
      </c>
      <c r="I236" s="58" t="str">
        <f t="shared" ca="1" si="3"/>
        <v>MV1_EV_27MY_KO</v>
      </c>
      <c r="J236" s="65" cm="1">
        <f t="array" ref="J236">IF(D236="","",IF(
  COUNTIF($D$5:$D$571, "Infotainment system") &gt; 0,
  VLOOKUP(D236, 챕터!$F$4:$G$100, 2, FALSE),
  IF(
    SUM(COUNTIF($D$5:$D$571, {"Hybrid system overview","Electric vehicle guide","Infotainment system"})) &gt; 0,
    VLOOKUP(D236, 챕터!$D$4:$E$100, 2, FALSE),
    VLOOKUP(D236, 챕터!$B$4:$C$100, 2, FALSE)
  )
))</f>
        <v>2</v>
      </c>
      <c r="K236" s="57"/>
      <c r="L236"/>
      <c r="M236"/>
      <c r="N236" s="19"/>
      <c r="O236" s="1"/>
    </row>
    <row r="237" spans="2:15">
      <c r="B237" s="55">
        <v>233</v>
      </c>
      <c r="C237" t="s">
        <v>293</v>
      </c>
      <c r="D237" s="85" t="s">
        <v>23</v>
      </c>
      <c r="E237" s="59" t="s">
        <v>1</v>
      </c>
      <c r="F237" s="32">
        <v>4500</v>
      </c>
      <c r="G237" s="56">
        <v>1</v>
      </c>
      <c r="H237" s="32">
        <v>4500</v>
      </c>
      <c r="I237" s="58" t="str">
        <f t="shared" ca="1" si="3"/>
        <v>MV1_EV_27MY_KO</v>
      </c>
      <c r="J237" s="65" cm="1">
        <f t="array" ref="J237">IF(D237="","",IF(
  COUNTIF($D$5:$D$571, "Infotainment system") &gt; 0,
  VLOOKUP(D237, 챕터!$F$4:$G$100, 2, FALSE),
  IF(
    SUM(COUNTIF($D$5:$D$571, {"Hybrid system overview","Electric vehicle guide","Infotainment system"})) &gt; 0,
    VLOOKUP(D237, 챕터!$D$4:$E$100, 2, FALSE),
    VLOOKUP(D237, 챕터!$B$4:$C$100, 2, FALSE)
  )
))</f>
        <v>2</v>
      </c>
      <c r="K237" s="57"/>
      <c r="L237"/>
      <c r="M237"/>
      <c r="N237" s="19"/>
      <c r="O237" s="1"/>
    </row>
    <row r="238" spans="2:15">
      <c r="B238" s="55">
        <v>234</v>
      </c>
      <c r="C238" t="s">
        <v>294</v>
      </c>
      <c r="D238" s="85" t="s">
        <v>23</v>
      </c>
      <c r="E238" s="59" t="s">
        <v>1</v>
      </c>
      <c r="F238" s="32">
        <v>4500</v>
      </c>
      <c r="G238" s="56">
        <v>1</v>
      </c>
      <c r="H238" s="32">
        <v>4500</v>
      </c>
      <c r="I238" s="58" t="str">
        <f t="shared" ca="1" si="3"/>
        <v>MV1_EV_27MY_KO</v>
      </c>
      <c r="J238" s="65" cm="1">
        <f t="array" ref="J238">IF(D238="","",IF(
  COUNTIF($D$5:$D$571, "Infotainment system") &gt; 0,
  VLOOKUP(D238, 챕터!$F$4:$G$100, 2, FALSE),
  IF(
    SUM(COUNTIF($D$5:$D$571, {"Hybrid system overview","Electric vehicle guide","Infotainment system"})) &gt; 0,
    VLOOKUP(D238, 챕터!$D$4:$E$100, 2, FALSE),
    VLOOKUP(D238, 챕터!$B$4:$C$100, 2, FALSE)
  )
))</f>
        <v>2</v>
      </c>
      <c r="K238" s="57"/>
      <c r="L238"/>
      <c r="M238"/>
      <c r="N238" s="19"/>
      <c r="O238" s="1"/>
    </row>
    <row r="239" spans="2:15">
      <c r="B239" s="55">
        <v>235</v>
      </c>
      <c r="C239" t="s">
        <v>295</v>
      </c>
      <c r="D239" s="85" t="s">
        <v>23</v>
      </c>
      <c r="E239" s="59" t="s">
        <v>1</v>
      </c>
      <c r="F239" s="32">
        <v>4500</v>
      </c>
      <c r="G239" s="56">
        <v>1</v>
      </c>
      <c r="H239" s="32">
        <v>4500</v>
      </c>
      <c r="I239" s="58" t="str">
        <f t="shared" ca="1" si="3"/>
        <v>MV1_EV_27MY_KO</v>
      </c>
      <c r="J239" s="65" cm="1">
        <f t="array" ref="J239">IF(D239="","",IF(
  COUNTIF($D$5:$D$571, "Infotainment system") &gt; 0,
  VLOOKUP(D239, 챕터!$F$4:$G$100, 2, FALSE),
  IF(
    SUM(COUNTIF($D$5:$D$571, {"Hybrid system overview","Electric vehicle guide","Infotainment system"})) &gt; 0,
    VLOOKUP(D239, 챕터!$D$4:$E$100, 2, FALSE),
    VLOOKUP(D239, 챕터!$B$4:$C$100, 2, FALSE)
  )
))</f>
        <v>2</v>
      </c>
      <c r="K239" s="57"/>
      <c r="L239"/>
      <c r="M239"/>
      <c r="N239" s="19"/>
      <c r="O239" s="1"/>
    </row>
    <row r="240" spans="2:15">
      <c r="B240" s="55">
        <v>236</v>
      </c>
      <c r="C240" t="s">
        <v>296</v>
      </c>
      <c r="D240" s="85" t="s">
        <v>23</v>
      </c>
      <c r="E240" s="59" t="s">
        <v>1</v>
      </c>
      <c r="F240" s="32">
        <v>4500</v>
      </c>
      <c r="G240" s="56">
        <v>1</v>
      </c>
      <c r="H240" s="32">
        <v>4500</v>
      </c>
      <c r="I240" s="58" t="str">
        <f t="shared" ca="1" si="3"/>
        <v>MV1_EV_27MY_KO</v>
      </c>
      <c r="J240" s="65" cm="1">
        <f t="array" ref="J240">IF(D240="","",IF(
  COUNTIF($D$5:$D$571, "Infotainment system") &gt; 0,
  VLOOKUP(D240, 챕터!$F$4:$G$100, 2, FALSE),
  IF(
    SUM(COUNTIF($D$5:$D$571, {"Hybrid system overview","Electric vehicle guide","Infotainment system"})) &gt; 0,
    VLOOKUP(D240, 챕터!$D$4:$E$100, 2, FALSE),
    VLOOKUP(D240, 챕터!$B$4:$C$100, 2, FALSE)
  )
))</f>
        <v>2</v>
      </c>
      <c r="K240" s="57"/>
      <c r="L240"/>
      <c r="M240"/>
      <c r="N240" s="19"/>
      <c r="O240" s="1"/>
    </row>
    <row r="241" spans="2:15">
      <c r="B241" s="55">
        <v>237</v>
      </c>
      <c r="C241" t="s">
        <v>297</v>
      </c>
      <c r="D241" s="85" t="s">
        <v>23</v>
      </c>
      <c r="E241" s="59" t="s">
        <v>1</v>
      </c>
      <c r="F241" s="32">
        <v>4500</v>
      </c>
      <c r="G241" s="56">
        <v>1</v>
      </c>
      <c r="H241" s="32">
        <v>4500</v>
      </c>
      <c r="I241" s="58" t="str">
        <f t="shared" ca="1" si="3"/>
        <v>MV1_EV_27MY_KO</v>
      </c>
      <c r="J241" s="65" cm="1">
        <f t="array" ref="J241">IF(D241="","",IF(
  COUNTIF($D$5:$D$571, "Infotainment system") &gt; 0,
  VLOOKUP(D241, 챕터!$F$4:$G$100, 2, FALSE),
  IF(
    SUM(COUNTIF($D$5:$D$571, {"Hybrid system overview","Electric vehicle guide","Infotainment system"})) &gt; 0,
    VLOOKUP(D241, 챕터!$D$4:$E$100, 2, FALSE),
    VLOOKUP(D241, 챕터!$B$4:$C$100, 2, FALSE)
  )
))</f>
        <v>2</v>
      </c>
      <c r="K241" s="57"/>
      <c r="L241"/>
      <c r="M241"/>
      <c r="N241" s="19"/>
      <c r="O241" s="1"/>
    </row>
    <row r="242" spans="2:15">
      <c r="B242" s="55">
        <v>238</v>
      </c>
      <c r="C242" t="s">
        <v>298</v>
      </c>
      <c r="D242" s="85" t="s">
        <v>23</v>
      </c>
      <c r="E242" s="59" t="s">
        <v>1</v>
      </c>
      <c r="F242" s="32">
        <v>4500</v>
      </c>
      <c r="G242" s="56">
        <v>1</v>
      </c>
      <c r="H242" s="32">
        <v>4500</v>
      </c>
      <c r="I242" s="58" t="str">
        <f t="shared" ca="1" si="3"/>
        <v>MV1_EV_27MY_KO</v>
      </c>
      <c r="J242" s="65" cm="1">
        <f t="array" ref="J242">IF(D242="","",IF(
  COUNTIF($D$5:$D$571, "Infotainment system") &gt; 0,
  VLOOKUP(D242, 챕터!$F$4:$G$100, 2, FALSE),
  IF(
    SUM(COUNTIF($D$5:$D$571, {"Hybrid system overview","Electric vehicle guide","Infotainment system"})) &gt; 0,
    VLOOKUP(D242, 챕터!$D$4:$E$100, 2, FALSE),
    VLOOKUP(D242, 챕터!$B$4:$C$100, 2, FALSE)
  )
))</f>
        <v>2</v>
      </c>
      <c r="K242" s="57"/>
      <c r="L242"/>
      <c r="M242"/>
      <c r="N242" s="19"/>
      <c r="O242" s="1"/>
    </row>
    <row r="243" spans="2:15">
      <c r="B243" s="55">
        <v>239</v>
      </c>
      <c r="C243" t="s">
        <v>299</v>
      </c>
      <c r="D243" s="85" t="s">
        <v>23</v>
      </c>
      <c r="E243" s="59" t="s">
        <v>1</v>
      </c>
      <c r="F243" s="32">
        <v>4500</v>
      </c>
      <c r="G243" s="56">
        <v>1</v>
      </c>
      <c r="H243" s="32">
        <v>4500</v>
      </c>
      <c r="I243" s="58" t="str">
        <f t="shared" ca="1" si="3"/>
        <v>MV1_EV_27MY_KO</v>
      </c>
      <c r="J243" s="65" cm="1">
        <f t="array" ref="J243">IF(D243="","",IF(
  COUNTIF($D$5:$D$571, "Infotainment system") &gt; 0,
  VLOOKUP(D243, 챕터!$F$4:$G$100, 2, FALSE),
  IF(
    SUM(COUNTIF($D$5:$D$571, {"Hybrid system overview","Electric vehicle guide","Infotainment system"})) &gt; 0,
    VLOOKUP(D243, 챕터!$D$4:$E$100, 2, FALSE),
    VLOOKUP(D243, 챕터!$B$4:$C$100, 2, FALSE)
  )
))</f>
        <v>2</v>
      </c>
      <c r="K243" s="57"/>
      <c r="L243"/>
      <c r="M243"/>
      <c r="N243" s="19"/>
      <c r="O243" s="1"/>
    </row>
    <row r="244" spans="2:15">
      <c r="B244" s="55">
        <v>240</v>
      </c>
      <c r="C244" t="s">
        <v>300</v>
      </c>
      <c r="D244" s="85" t="s">
        <v>23</v>
      </c>
      <c r="E244" s="59" t="s">
        <v>1</v>
      </c>
      <c r="F244" s="32">
        <v>4500</v>
      </c>
      <c r="G244" s="56">
        <v>1</v>
      </c>
      <c r="H244" s="32">
        <v>4500</v>
      </c>
      <c r="I244" s="58" t="str">
        <f t="shared" ca="1" si="3"/>
        <v>MV1_EV_27MY_KO</v>
      </c>
      <c r="J244" s="65" cm="1">
        <f t="array" ref="J244">IF(D244="","",IF(
  COUNTIF($D$5:$D$571, "Infotainment system") &gt; 0,
  VLOOKUP(D244, 챕터!$F$4:$G$100, 2, FALSE),
  IF(
    SUM(COUNTIF($D$5:$D$571, {"Hybrid system overview","Electric vehicle guide","Infotainment system"})) &gt; 0,
    VLOOKUP(D244, 챕터!$D$4:$E$100, 2, FALSE),
    VLOOKUP(D244, 챕터!$B$4:$C$100, 2, FALSE)
  )
))</f>
        <v>2</v>
      </c>
      <c r="K244" s="57"/>
      <c r="L244"/>
      <c r="M244"/>
      <c r="N244" s="19"/>
      <c r="O244" s="1"/>
    </row>
    <row r="245" spans="2:15">
      <c r="B245" s="55">
        <v>241</v>
      </c>
      <c r="C245" t="s">
        <v>301</v>
      </c>
      <c r="D245" s="85" t="s">
        <v>23</v>
      </c>
      <c r="E245" s="59" t="s">
        <v>1</v>
      </c>
      <c r="F245" s="32">
        <v>4500</v>
      </c>
      <c r="G245" s="56">
        <v>1</v>
      </c>
      <c r="H245" s="32">
        <v>4500</v>
      </c>
      <c r="I245" s="58" t="str">
        <f t="shared" ca="1" si="3"/>
        <v>MV1_EV_27MY_KO</v>
      </c>
      <c r="J245" s="65" cm="1">
        <f t="array" ref="J245">IF(D245="","",IF(
  COUNTIF($D$5:$D$571, "Infotainment system") &gt; 0,
  VLOOKUP(D245, 챕터!$F$4:$G$100, 2, FALSE),
  IF(
    SUM(COUNTIF($D$5:$D$571, {"Hybrid system overview","Electric vehicle guide","Infotainment system"})) &gt; 0,
    VLOOKUP(D245, 챕터!$D$4:$E$100, 2, FALSE),
    VLOOKUP(D245, 챕터!$B$4:$C$100, 2, FALSE)
  )
))</f>
        <v>2</v>
      </c>
      <c r="K245" s="57"/>
      <c r="L245"/>
      <c r="M245"/>
      <c r="N245" s="19"/>
      <c r="O245" s="1"/>
    </row>
    <row r="246" spans="2:15">
      <c r="B246" s="55">
        <v>242</v>
      </c>
      <c r="C246" t="s">
        <v>302</v>
      </c>
      <c r="D246" s="85" t="s">
        <v>23</v>
      </c>
      <c r="E246" s="59" t="s">
        <v>1</v>
      </c>
      <c r="F246" s="32">
        <v>4500</v>
      </c>
      <c r="G246" s="56">
        <v>1</v>
      </c>
      <c r="H246" s="32">
        <v>4500</v>
      </c>
      <c r="I246" s="58" t="str">
        <f t="shared" ca="1" si="3"/>
        <v>MV1_EV_27MY_KO</v>
      </c>
      <c r="J246" s="65" cm="1">
        <f t="array" ref="J246">IF(D246="","",IF(
  COUNTIF($D$5:$D$571, "Infotainment system") &gt; 0,
  VLOOKUP(D246, 챕터!$F$4:$G$100, 2, FALSE),
  IF(
    SUM(COUNTIF($D$5:$D$571, {"Hybrid system overview","Electric vehicle guide","Infotainment system"})) &gt; 0,
    VLOOKUP(D246, 챕터!$D$4:$E$100, 2, FALSE),
    VLOOKUP(D246, 챕터!$B$4:$C$100, 2, FALSE)
  )
))</f>
        <v>2</v>
      </c>
      <c r="K246" s="57"/>
      <c r="L246"/>
      <c r="M246"/>
      <c r="N246" s="19"/>
      <c r="O246" s="1"/>
    </row>
    <row r="247" spans="2:15">
      <c r="B247" s="55">
        <v>243</v>
      </c>
      <c r="C247" t="s">
        <v>303</v>
      </c>
      <c r="D247" s="85" t="s">
        <v>23</v>
      </c>
      <c r="E247" s="59" t="s">
        <v>1</v>
      </c>
      <c r="F247" s="32">
        <v>4500</v>
      </c>
      <c r="G247" s="56">
        <v>1</v>
      </c>
      <c r="H247" s="32">
        <v>4500</v>
      </c>
      <c r="I247" s="58" t="str">
        <f t="shared" ca="1" si="3"/>
        <v>MV1_EV_27MY_KO</v>
      </c>
      <c r="J247" s="65" cm="1">
        <f t="array" ref="J247">IF(D247="","",IF(
  COUNTIF($D$5:$D$571, "Infotainment system") &gt; 0,
  VLOOKUP(D247, 챕터!$F$4:$G$100, 2, FALSE),
  IF(
    SUM(COUNTIF($D$5:$D$571, {"Hybrid system overview","Electric vehicle guide","Infotainment system"})) &gt; 0,
    VLOOKUP(D247, 챕터!$D$4:$E$100, 2, FALSE),
    VLOOKUP(D247, 챕터!$B$4:$C$100, 2, FALSE)
  )
))</f>
        <v>2</v>
      </c>
      <c r="K247" s="57"/>
      <c r="L247"/>
      <c r="M247"/>
      <c r="N247" s="19"/>
      <c r="O247" s="1"/>
    </row>
    <row r="248" spans="2:15">
      <c r="B248" s="55">
        <v>244</v>
      </c>
      <c r="C248" t="s">
        <v>304</v>
      </c>
      <c r="D248" s="85" t="s">
        <v>23</v>
      </c>
      <c r="E248" s="59" t="s">
        <v>1</v>
      </c>
      <c r="F248" s="32">
        <v>4500</v>
      </c>
      <c r="G248" s="56">
        <v>1</v>
      </c>
      <c r="H248" s="32">
        <v>4500</v>
      </c>
      <c r="I248" s="58" t="str">
        <f t="shared" ca="1" si="3"/>
        <v>MV1_EV_27MY_KO</v>
      </c>
      <c r="J248" s="65" cm="1">
        <f t="array" ref="J248">IF(D248="","",IF(
  COUNTIF($D$5:$D$571, "Infotainment system") &gt; 0,
  VLOOKUP(D248, 챕터!$F$4:$G$100, 2, FALSE),
  IF(
    SUM(COUNTIF($D$5:$D$571, {"Hybrid system overview","Electric vehicle guide","Infotainment system"})) &gt; 0,
    VLOOKUP(D248, 챕터!$D$4:$E$100, 2, FALSE),
    VLOOKUP(D248, 챕터!$B$4:$C$100, 2, FALSE)
  )
))</f>
        <v>2</v>
      </c>
      <c r="K248" s="57"/>
      <c r="L248"/>
      <c r="M248"/>
      <c r="N248" s="19"/>
      <c r="O248" s="1"/>
    </row>
    <row r="249" spans="2:15">
      <c r="B249" s="55">
        <v>245</v>
      </c>
      <c r="C249" t="s">
        <v>305</v>
      </c>
      <c r="D249" s="85" t="s">
        <v>23</v>
      </c>
      <c r="E249" s="59" t="s">
        <v>1</v>
      </c>
      <c r="F249" s="32">
        <v>4500</v>
      </c>
      <c r="G249" s="56">
        <v>1</v>
      </c>
      <c r="H249" s="32">
        <v>4500</v>
      </c>
      <c r="I249" s="58" t="str">
        <f t="shared" ca="1" si="3"/>
        <v>MV1_EV_27MY_KO</v>
      </c>
      <c r="J249" s="65" cm="1">
        <f t="array" ref="J249">IF(D249="","",IF(
  COUNTIF($D$5:$D$571, "Infotainment system") &gt; 0,
  VLOOKUP(D249, 챕터!$F$4:$G$100, 2, FALSE),
  IF(
    SUM(COUNTIF($D$5:$D$571, {"Hybrid system overview","Electric vehicle guide","Infotainment system"})) &gt; 0,
    VLOOKUP(D249, 챕터!$D$4:$E$100, 2, FALSE),
    VLOOKUP(D249, 챕터!$B$4:$C$100, 2, FALSE)
  )
))</f>
        <v>2</v>
      </c>
      <c r="K249" s="57"/>
      <c r="L249"/>
      <c r="M249"/>
      <c r="N249" s="19"/>
      <c r="O249" s="1"/>
    </row>
    <row r="250" spans="2:15">
      <c r="B250" s="55">
        <v>246</v>
      </c>
      <c r="C250" t="s">
        <v>306</v>
      </c>
      <c r="D250" s="85" t="s">
        <v>23</v>
      </c>
      <c r="E250" s="59" t="s">
        <v>1</v>
      </c>
      <c r="F250" s="32">
        <v>4500</v>
      </c>
      <c r="G250" s="56">
        <v>1</v>
      </c>
      <c r="H250" s="32">
        <v>4500</v>
      </c>
      <c r="I250" s="58" t="str">
        <f t="shared" ca="1" si="3"/>
        <v>MV1_EV_27MY_KO</v>
      </c>
      <c r="J250" s="65" cm="1">
        <f t="array" ref="J250">IF(D250="","",IF(
  COUNTIF($D$5:$D$571, "Infotainment system") &gt; 0,
  VLOOKUP(D250, 챕터!$F$4:$G$100, 2, FALSE),
  IF(
    SUM(COUNTIF($D$5:$D$571, {"Hybrid system overview","Electric vehicle guide","Infotainment system"})) &gt; 0,
    VLOOKUP(D250, 챕터!$D$4:$E$100, 2, FALSE),
    VLOOKUP(D250, 챕터!$B$4:$C$100, 2, FALSE)
  )
))</f>
        <v>2</v>
      </c>
      <c r="K250" s="57"/>
      <c r="L250"/>
      <c r="M250"/>
      <c r="N250" s="19"/>
      <c r="O250" s="1"/>
    </row>
    <row r="251" spans="2:15">
      <c r="B251" s="55">
        <v>247</v>
      </c>
      <c r="C251" t="s">
        <v>307</v>
      </c>
      <c r="D251" s="85" t="s">
        <v>23</v>
      </c>
      <c r="E251" s="59" t="s">
        <v>1</v>
      </c>
      <c r="F251" s="32">
        <v>4500</v>
      </c>
      <c r="G251" s="56">
        <v>1</v>
      </c>
      <c r="H251" s="32">
        <v>4500</v>
      </c>
      <c r="I251" s="58" t="str">
        <f t="shared" ca="1" si="3"/>
        <v>MV1_EV_27MY_KO</v>
      </c>
      <c r="J251" s="65" cm="1">
        <f t="array" ref="J251">IF(D251="","",IF(
  COUNTIF($D$5:$D$571, "Infotainment system") &gt; 0,
  VLOOKUP(D251, 챕터!$F$4:$G$100, 2, FALSE),
  IF(
    SUM(COUNTIF($D$5:$D$571, {"Hybrid system overview","Electric vehicle guide","Infotainment system"})) &gt; 0,
    VLOOKUP(D251, 챕터!$D$4:$E$100, 2, FALSE),
    VLOOKUP(D251, 챕터!$B$4:$C$100, 2, FALSE)
  )
))</f>
        <v>2</v>
      </c>
      <c r="K251" s="57"/>
      <c r="L251"/>
      <c r="M251"/>
      <c r="N251" s="19"/>
      <c r="O251" s="1"/>
    </row>
    <row r="252" spans="2:15">
      <c r="B252" s="55">
        <v>248</v>
      </c>
      <c r="C252" t="s">
        <v>308</v>
      </c>
      <c r="D252" s="85" t="s">
        <v>23</v>
      </c>
      <c r="E252" s="59" t="s">
        <v>1</v>
      </c>
      <c r="F252" s="32">
        <v>4500</v>
      </c>
      <c r="G252" s="56">
        <v>1</v>
      </c>
      <c r="H252" s="32">
        <v>4500</v>
      </c>
      <c r="I252" s="58" t="str">
        <f t="shared" ca="1" si="3"/>
        <v>MV1_EV_27MY_KO</v>
      </c>
      <c r="J252" s="65" cm="1">
        <f t="array" ref="J252">IF(D252="","",IF(
  COUNTIF($D$5:$D$571, "Infotainment system") &gt; 0,
  VLOOKUP(D252, 챕터!$F$4:$G$100, 2, FALSE),
  IF(
    SUM(COUNTIF($D$5:$D$571, {"Hybrid system overview","Electric vehicle guide","Infotainment system"})) &gt; 0,
    VLOOKUP(D252, 챕터!$D$4:$E$100, 2, FALSE),
    VLOOKUP(D252, 챕터!$B$4:$C$100, 2, FALSE)
  )
))</f>
        <v>2</v>
      </c>
      <c r="K252" s="57"/>
      <c r="L252"/>
      <c r="M252"/>
      <c r="N252" s="19"/>
      <c r="O252" s="1"/>
    </row>
    <row r="253" spans="2:15">
      <c r="B253" s="55">
        <v>249</v>
      </c>
      <c r="C253" t="s">
        <v>309</v>
      </c>
      <c r="D253" s="85" t="s">
        <v>23</v>
      </c>
      <c r="E253" s="59" t="s">
        <v>1</v>
      </c>
      <c r="F253" s="32">
        <v>4500</v>
      </c>
      <c r="G253" s="56">
        <v>1</v>
      </c>
      <c r="H253" s="32">
        <v>4500</v>
      </c>
      <c r="I253" s="58" t="str">
        <f t="shared" ca="1" si="3"/>
        <v>MV1_EV_27MY_KO</v>
      </c>
      <c r="J253" s="65" cm="1">
        <f t="array" ref="J253">IF(D253="","",IF(
  COUNTIF($D$5:$D$571, "Infotainment system") &gt; 0,
  VLOOKUP(D253, 챕터!$F$4:$G$100, 2, FALSE),
  IF(
    SUM(COUNTIF($D$5:$D$571, {"Hybrid system overview","Electric vehicle guide","Infotainment system"})) &gt; 0,
    VLOOKUP(D253, 챕터!$D$4:$E$100, 2, FALSE),
    VLOOKUP(D253, 챕터!$B$4:$C$100, 2, FALSE)
  )
))</f>
        <v>2</v>
      </c>
      <c r="K253" s="57"/>
      <c r="L253"/>
      <c r="M253"/>
      <c r="N253" s="19"/>
      <c r="O253" s="1"/>
    </row>
    <row r="254" spans="2:15">
      <c r="B254" s="55">
        <v>250</v>
      </c>
      <c r="C254" t="s">
        <v>310</v>
      </c>
      <c r="D254" s="85" t="s">
        <v>23</v>
      </c>
      <c r="E254" s="59" t="s">
        <v>1</v>
      </c>
      <c r="F254" s="32">
        <v>4500</v>
      </c>
      <c r="G254" s="56">
        <v>1</v>
      </c>
      <c r="H254" s="32">
        <v>4500</v>
      </c>
      <c r="I254" s="58" t="str">
        <f t="shared" ca="1" si="3"/>
        <v>MV1_EV_27MY_KO</v>
      </c>
      <c r="J254" s="65" cm="1">
        <f t="array" ref="J254">IF(D254="","",IF(
  COUNTIF($D$5:$D$571, "Infotainment system") &gt; 0,
  VLOOKUP(D254, 챕터!$F$4:$G$100, 2, FALSE),
  IF(
    SUM(COUNTIF($D$5:$D$571, {"Hybrid system overview","Electric vehicle guide","Infotainment system"})) &gt; 0,
    VLOOKUP(D254, 챕터!$D$4:$E$100, 2, FALSE),
    VLOOKUP(D254, 챕터!$B$4:$C$100, 2, FALSE)
  )
))</f>
        <v>2</v>
      </c>
      <c r="K254" s="57"/>
      <c r="L254"/>
      <c r="M254"/>
      <c r="N254" s="19"/>
      <c r="O254" s="1"/>
    </row>
    <row r="255" spans="2:15">
      <c r="B255" s="55">
        <v>251</v>
      </c>
      <c r="C255" t="s">
        <v>311</v>
      </c>
      <c r="D255" s="85" t="s">
        <v>23</v>
      </c>
      <c r="E255" s="59" t="s">
        <v>1</v>
      </c>
      <c r="F255" s="32">
        <v>4500</v>
      </c>
      <c r="G255" s="56">
        <v>1</v>
      </c>
      <c r="H255" s="32">
        <v>4500</v>
      </c>
      <c r="I255" s="58" t="str">
        <f t="shared" ca="1" si="3"/>
        <v>MV1_EV_27MY_KO</v>
      </c>
      <c r="J255" s="65" cm="1">
        <f t="array" ref="J255">IF(D255="","",IF(
  COUNTIF($D$5:$D$571, "Infotainment system") &gt; 0,
  VLOOKUP(D255, 챕터!$F$4:$G$100, 2, FALSE),
  IF(
    SUM(COUNTIF($D$5:$D$571, {"Hybrid system overview","Electric vehicle guide","Infotainment system"})) &gt; 0,
    VLOOKUP(D255, 챕터!$D$4:$E$100, 2, FALSE),
    VLOOKUP(D255, 챕터!$B$4:$C$100, 2, FALSE)
  )
))</f>
        <v>2</v>
      </c>
      <c r="K255" s="57"/>
      <c r="L255"/>
      <c r="M255"/>
      <c r="N255" s="19"/>
      <c r="O255" s="1"/>
    </row>
    <row r="256" spans="2:15">
      <c r="B256" s="55">
        <v>252</v>
      </c>
      <c r="C256" t="s">
        <v>312</v>
      </c>
      <c r="D256" s="85" t="s">
        <v>23</v>
      </c>
      <c r="E256" s="59" t="s">
        <v>1</v>
      </c>
      <c r="F256" s="32">
        <v>4500</v>
      </c>
      <c r="G256" s="56">
        <v>1</v>
      </c>
      <c r="H256" s="32">
        <v>4500</v>
      </c>
      <c r="I256" s="58" t="str">
        <f t="shared" ca="1" si="3"/>
        <v>MV1_EV_27MY_KO</v>
      </c>
      <c r="J256" s="65" cm="1">
        <f t="array" ref="J256">IF(D256="","",IF(
  COUNTIF($D$5:$D$571, "Infotainment system") &gt; 0,
  VLOOKUP(D256, 챕터!$F$4:$G$100, 2, FALSE),
  IF(
    SUM(COUNTIF($D$5:$D$571, {"Hybrid system overview","Electric vehicle guide","Infotainment system"})) &gt; 0,
    VLOOKUP(D256, 챕터!$D$4:$E$100, 2, FALSE),
    VLOOKUP(D256, 챕터!$B$4:$C$100, 2, FALSE)
  )
))</f>
        <v>2</v>
      </c>
      <c r="K256" s="57"/>
      <c r="L256"/>
      <c r="M256"/>
      <c r="N256" s="19"/>
      <c r="O256" s="1"/>
    </row>
    <row r="257" spans="2:15">
      <c r="B257" s="55">
        <v>253</v>
      </c>
      <c r="C257" t="s">
        <v>313</v>
      </c>
      <c r="D257" s="85" t="s">
        <v>23</v>
      </c>
      <c r="E257" s="59" t="s">
        <v>1</v>
      </c>
      <c r="F257" s="32">
        <v>4500</v>
      </c>
      <c r="G257" s="56">
        <v>1</v>
      </c>
      <c r="H257" s="32">
        <v>4500</v>
      </c>
      <c r="I257" s="58" t="str">
        <f t="shared" ca="1" si="3"/>
        <v>MV1_EV_27MY_KO</v>
      </c>
      <c r="J257" s="65" cm="1">
        <f t="array" ref="J257">IF(D257="","",IF(
  COUNTIF($D$5:$D$571, "Infotainment system") &gt; 0,
  VLOOKUP(D257, 챕터!$F$4:$G$100, 2, FALSE),
  IF(
    SUM(COUNTIF($D$5:$D$571, {"Hybrid system overview","Electric vehicle guide","Infotainment system"})) &gt; 0,
    VLOOKUP(D257, 챕터!$D$4:$E$100, 2, FALSE),
    VLOOKUP(D257, 챕터!$B$4:$C$100, 2, FALSE)
  )
))</f>
        <v>2</v>
      </c>
      <c r="K257" s="57"/>
      <c r="L257"/>
      <c r="M257"/>
      <c r="N257" s="19"/>
      <c r="O257" s="1"/>
    </row>
    <row r="258" spans="2:15">
      <c r="B258" s="55">
        <v>254</v>
      </c>
      <c r="C258" t="s">
        <v>314</v>
      </c>
      <c r="D258" s="85" t="s">
        <v>23</v>
      </c>
      <c r="E258" s="59" t="s">
        <v>1</v>
      </c>
      <c r="F258" s="32">
        <v>4500</v>
      </c>
      <c r="G258" s="56">
        <v>1</v>
      </c>
      <c r="H258" s="32">
        <v>4500</v>
      </c>
      <c r="I258" s="58" t="str">
        <f t="shared" ca="1" si="3"/>
        <v>MV1_EV_27MY_KO</v>
      </c>
      <c r="J258" s="65" cm="1">
        <f t="array" ref="J258">IF(D258="","",IF(
  COUNTIF($D$5:$D$571, "Infotainment system") &gt; 0,
  VLOOKUP(D258, 챕터!$F$4:$G$100, 2, FALSE),
  IF(
    SUM(COUNTIF($D$5:$D$571, {"Hybrid system overview","Electric vehicle guide","Infotainment system"})) &gt; 0,
    VLOOKUP(D258, 챕터!$D$4:$E$100, 2, FALSE),
    VLOOKUP(D258, 챕터!$B$4:$C$100, 2, FALSE)
  )
))</f>
        <v>2</v>
      </c>
      <c r="K258" s="57"/>
      <c r="L258"/>
      <c r="M258"/>
      <c r="N258" s="19"/>
      <c r="O258" s="1"/>
    </row>
    <row r="259" spans="2:15">
      <c r="B259" s="55">
        <v>255</v>
      </c>
      <c r="C259" t="s">
        <v>315</v>
      </c>
      <c r="D259" s="85" t="s">
        <v>23</v>
      </c>
      <c r="E259" s="59" t="s">
        <v>1</v>
      </c>
      <c r="F259" s="32">
        <v>4500</v>
      </c>
      <c r="G259" s="56">
        <v>1</v>
      </c>
      <c r="H259" s="32">
        <v>4500</v>
      </c>
      <c r="I259" s="58" t="str">
        <f t="shared" ca="1" si="3"/>
        <v>MV1_EV_27MY_KO</v>
      </c>
      <c r="J259" s="65" cm="1">
        <f t="array" ref="J259">IF(D259="","",IF(
  COUNTIF($D$5:$D$571, "Infotainment system") &gt; 0,
  VLOOKUP(D259, 챕터!$F$4:$G$100, 2, FALSE),
  IF(
    SUM(COUNTIF($D$5:$D$571, {"Hybrid system overview","Electric vehicle guide","Infotainment system"})) &gt; 0,
    VLOOKUP(D259, 챕터!$D$4:$E$100, 2, FALSE),
    VLOOKUP(D259, 챕터!$B$4:$C$100, 2, FALSE)
  )
))</f>
        <v>2</v>
      </c>
      <c r="K259" s="57"/>
      <c r="L259"/>
      <c r="M259"/>
      <c r="N259" s="19"/>
      <c r="O259" s="1"/>
    </row>
    <row r="260" spans="2:15">
      <c r="B260" s="55">
        <v>256</v>
      </c>
      <c r="C260" t="s">
        <v>316</v>
      </c>
      <c r="D260" s="85" t="s">
        <v>23</v>
      </c>
      <c r="E260" s="59" t="s">
        <v>1</v>
      </c>
      <c r="F260" s="32">
        <v>4500</v>
      </c>
      <c r="G260" s="56">
        <v>1</v>
      </c>
      <c r="H260" s="32">
        <v>4500</v>
      </c>
      <c r="I260" s="58" t="str">
        <f t="shared" ca="1" si="3"/>
        <v>MV1_EV_27MY_KO</v>
      </c>
      <c r="J260" s="65" cm="1">
        <f t="array" ref="J260">IF(D260="","",IF(
  COUNTIF($D$5:$D$571, "Infotainment system") &gt; 0,
  VLOOKUP(D260, 챕터!$F$4:$G$100, 2, FALSE),
  IF(
    SUM(COUNTIF($D$5:$D$571, {"Hybrid system overview","Electric vehicle guide","Infotainment system"})) &gt; 0,
    VLOOKUP(D260, 챕터!$D$4:$E$100, 2, FALSE),
    VLOOKUP(D260, 챕터!$B$4:$C$100, 2, FALSE)
  )
))</f>
        <v>2</v>
      </c>
      <c r="K260" s="57"/>
      <c r="L260"/>
      <c r="M260"/>
      <c r="N260" s="19"/>
      <c r="O260" s="1"/>
    </row>
    <row r="261" spans="2:15">
      <c r="B261" s="55">
        <v>257</v>
      </c>
      <c r="C261" t="s">
        <v>317</v>
      </c>
      <c r="D261" s="85" t="s">
        <v>23</v>
      </c>
      <c r="E261" s="59" t="s">
        <v>1</v>
      </c>
      <c r="F261" s="32">
        <v>4500</v>
      </c>
      <c r="G261" s="56">
        <v>1</v>
      </c>
      <c r="H261" s="32">
        <v>4500</v>
      </c>
      <c r="I261" s="58" t="str">
        <f t="shared" ca="1" si="3"/>
        <v>MV1_EV_27MY_KO</v>
      </c>
      <c r="J261" s="65" cm="1">
        <f t="array" ref="J261">IF(D261="","",IF(
  COUNTIF($D$5:$D$571, "Infotainment system") &gt; 0,
  VLOOKUP(D261, 챕터!$F$4:$G$100, 2, FALSE),
  IF(
    SUM(COUNTIF($D$5:$D$571, {"Hybrid system overview","Electric vehicle guide","Infotainment system"})) &gt; 0,
    VLOOKUP(D261, 챕터!$D$4:$E$100, 2, FALSE),
    VLOOKUP(D261, 챕터!$B$4:$C$100, 2, FALSE)
  )
))</f>
        <v>2</v>
      </c>
      <c r="K261" s="57"/>
      <c r="L261"/>
      <c r="M261"/>
      <c r="N261" s="19"/>
      <c r="O261" s="1"/>
    </row>
    <row r="262" spans="2:15">
      <c r="B262" s="55">
        <v>258</v>
      </c>
      <c r="C262" t="s">
        <v>318</v>
      </c>
      <c r="D262" s="85" t="s">
        <v>23</v>
      </c>
      <c r="E262" s="59" t="s">
        <v>1</v>
      </c>
      <c r="F262" s="32">
        <v>4500</v>
      </c>
      <c r="G262" s="56">
        <v>1</v>
      </c>
      <c r="H262" s="32">
        <v>4500</v>
      </c>
      <c r="I262" s="58" t="str">
        <f t="shared" ca="1" si="3"/>
        <v>MV1_EV_27MY_KO</v>
      </c>
      <c r="J262" s="65" cm="1">
        <f t="array" ref="J262">IF(D262="","",IF(
  COUNTIF($D$5:$D$571, "Infotainment system") &gt; 0,
  VLOOKUP(D262, 챕터!$F$4:$G$100, 2, FALSE),
  IF(
    SUM(COUNTIF($D$5:$D$571, {"Hybrid system overview","Electric vehicle guide","Infotainment system"})) &gt; 0,
    VLOOKUP(D262, 챕터!$D$4:$E$100, 2, FALSE),
    VLOOKUP(D262, 챕터!$B$4:$C$100, 2, FALSE)
  )
))</f>
        <v>2</v>
      </c>
      <c r="K262" s="57"/>
      <c r="L262"/>
      <c r="M262"/>
      <c r="N262" s="19"/>
      <c r="O262" s="1"/>
    </row>
    <row r="263" spans="2:15">
      <c r="B263" s="55">
        <v>259</v>
      </c>
      <c r="C263" t="s">
        <v>319</v>
      </c>
      <c r="D263" s="85" t="s">
        <v>23</v>
      </c>
      <c r="E263" s="59" t="s">
        <v>1</v>
      </c>
      <c r="F263" s="32">
        <v>4500</v>
      </c>
      <c r="G263" s="56">
        <v>1</v>
      </c>
      <c r="H263" s="32">
        <v>4500</v>
      </c>
      <c r="I263" s="58" t="str">
        <f t="shared" ref="I263:I326" ca="1" si="4">IF(D263="","",$I$5)</f>
        <v>MV1_EV_27MY_KO</v>
      </c>
      <c r="J263" s="65" cm="1">
        <f t="array" ref="J263">IF(D263="","",IF(
  COUNTIF($D$5:$D$571, "Infotainment system") &gt; 0,
  VLOOKUP(D263, 챕터!$F$4:$G$100, 2, FALSE),
  IF(
    SUM(COUNTIF($D$5:$D$571, {"Hybrid system overview","Electric vehicle guide","Infotainment system"})) &gt; 0,
    VLOOKUP(D263, 챕터!$D$4:$E$100, 2, FALSE),
    VLOOKUP(D263, 챕터!$B$4:$C$100, 2, FALSE)
  )
))</f>
        <v>2</v>
      </c>
      <c r="K263" s="57"/>
      <c r="L263"/>
      <c r="M263"/>
      <c r="N263" s="19"/>
      <c r="O263" s="1"/>
    </row>
    <row r="264" spans="2:15">
      <c r="B264" s="55">
        <v>260</v>
      </c>
      <c r="C264" t="s">
        <v>320</v>
      </c>
      <c r="D264" s="85" t="s">
        <v>23</v>
      </c>
      <c r="E264" s="59" t="s">
        <v>1</v>
      </c>
      <c r="F264" s="32">
        <v>4500</v>
      </c>
      <c r="G264" s="56">
        <v>1</v>
      </c>
      <c r="H264" s="32">
        <v>4500</v>
      </c>
      <c r="I264" s="58" t="str">
        <f t="shared" ca="1" si="4"/>
        <v>MV1_EV_27MY_KO</v>
      </c>
      <c r="J264" s="65" cm="1">
        <f t="array" ref="J264">IF(D264="","",IF(
  COUNTIF($D$5:$D$571, "Infotainment system") &gt; 0,
  VLOOKUP(D264, 챕터!$F$4:$G$100, 2, FALSE),
  IF(
    SUM(COUNTIF($D$5:$D$571, {"Hybrid system overview","Electric vehicle guide","Infotainment system"})) &gt; 0,
    VLOOKUP(D264, 챕터!$D$4:$E$100, 2, FALSE),
    VLOOKUP(D264, 챕터!$B$4:$C$100, 2, FALSE)
  )
))</f>
        <v>2</v>
      </c>
      <c r="K264" s="57"/>
      <c r="L264"/>
      <c r="M264"/>
      <c r="N264" s="19"/>
      <c r="O264" s="1"/>
    </row>
    <row r="265" spans="2:15">
      <c r="B265" s="55">
        <v>261</v>
      </c>
      <c r="C265" t="s">
        <v>321</v>
      </c>
      <c r="D265" s="85" t="s">
        <v>23</v>
      </c>
      <c r="E265" s="59" t="s">
        <v>1</v>
      </c>
      <c r="F265" s="32">
        <v>4500</v>
      </c>
      <c r="G265" s="56">
        <v>1</v>
      </c>
      <c r="H265" s="32">
        <v>4500</v>
      </c>
      <c r="I265" s="58" t="str">
        <f t="shared" ca="1" si="4"/>
        <v>MV1_EV_27MY_KO</v>
      </c>
      <c r="J265" s="65" cm="1">
        <f t="array" ref="J265">IF(D265="","",IF(
  COUNTIF($D$5:$D$571, "Infotainment system") &gt; 0,
  VLOOKUP(D265, 챕터!$F$4:$G$100, 2, FALSE),
  IF(
    SUM(COUNTIF($D$5:$D$571, {"Hybrid system overview","Electric vehicle guide","Infotainment system"})) &gt; 0,
    VLOOKUP(D265, 챕터!$D$4:$E$100, 2, FALSE),
    VLOOKUP(D265, 챕터!$B$4:$C$100, 2, FALSE)
  )
))</f>
        <v>2</v>
      </c>
      <c r="K265" s="57"/>
      <c r="L265"/>
      <c r="M265"/>
      <c r="N265" s="19"/>
      <c r="O265" s="1"/>
    </row>
    <row r="266" spans="2:15">
      <c r="B266" s="55">
        <v>262</v>
      </c>
      <c r="C266" t="s">
        <v>322</v>
      </c>
      <c r="D266" s="85" t="s">
        <v>23</v>
      </c>
      <c r="E266" s="59" t="s">
        <v>1</v>
      </c>
      <c r="F266" s="32">
        <v>4500</v>
      </c>
      <c r="G266" s="56">
        <v>1</v>
      </c>
      <c r="H266" s="32">
        <v>4500</v>
      </c>
      <c r="I266" s="58" t="str">
        <f t="shared" ca="1" si="4"/>
        <v>MV1_EV_27MY_KO</v>
      </c>
      <c r="J266" s="65" cm="1">
        <f t="array" ref="J266">IF(D266="","",IF(
  COUNTIF($D$5:$D$571, "Infotainment system") &gt; 0,
  VLOOKUP(D266, 챕터!$F$4:$G$100, 2, FALSE),
  IF(
    SUM(COUNTIF($D$5:$D$571, {"Hybrid system overview","Electric vehicle guide","Infotainment system"})) &gt; 0,
    VLOOKUP(D266, 챕터!$D$4:$E$100, 2, FALSE),
    VLOOKUP(D266, 챕터!$B$4:$C$100, 2, FALSE)
  )
))</f>
        <v>2</v>
      </c>
      <c r="K266" s="57"/>
      <c r="L266"/>
      <c r="M266"/>
      <c r="N266" s="19"/>
      <c r="O266" s="1"/>
    </row>
    <row r="267" spans="2:15">
      <c r="B267" s="55">
        <v>263</v>
      </c>
      <c r="C267" t="s">
        <v>323</v>
      </c>
      <c r="D267" s="85" t="s">
        <v>23</v>
      </c>
      <c r="E267" s="59" t="s">
        <v>1</v>
      </c>
      <c r="F267" s="32">
        <v>4500</v>
      </c>
      <c r="G267" s="56">
        <v>1</v>
      </c>
      <c r="H267" s="32">
        <v>4500</v>
      </c>
      <c r="I267" s="58" t="str">
        <f t="shared" ca="1" si="4"/>
        <v>MV1_EV_27MY_KO</v>
      </c>
      <c r="J267" s="65" cm="1">
        <f t="array" ref="J267">IF(D267="","",IF(
  COUNTIF($D$5:$D$571, "Infotainment system") &gt; 0,
  VLOOKUP(D267, 챕터!$F$4:$G$100, 2, FALSE),
  IF(
    SUM(COUNTIF($D$5:$D$571, {"Hybrid system overview","Electric vehicle guide","Infotainment system"})) &gt; 0,
    VLOOKUP(D267, 챕터!$D$4:$E$100, 2, FALSE),
    VLOOKUP(D267, 챕터!$B$4:$C$100, 2, FALSE)
  )
))</f>
        <v>2</v>
      </c>
      <c r="K267" s="57"/>
      <c r="L267"/>
      <c r="M267"/>
      <c r="N267" s="19"/>
      <c r="O267" s="1"/>
    </row>
    <row r="268" spans="2:15">
      <c r="B268" s="55">
        <v>264</v>
      </c>
      <c r="C268" t="s">
        <v>324</v>
      </c>
      <c r="D268" s="85" t="s">
        <v>23</v>
      </c>
      <c r="E268" s="59" t="s">
        <v>1</v>
      </c>
      <c r="F268" s="32">
        <v>4500</v>
      </c>
      <c r="G268" s="56">
        <v>1</v>
      </c>
      <c r="H268" s="32">
        <v>4500</v>
      </c>
      <c r="I268" s="58" t="str">
        <f t="shared" ca="1" si="4"/>
        <v>MV1_EV_27MY_KO</v>
      </c>
      <c r="J268" s="65" cm="1">
        <f t="array" ref="J268">IF(D268="","",IF(
  COUNTIF($D$5:$D$571, "Infotainment system") &gt; 0,
  VLOOKUP(D268, 챕터!$F$4:$G$100, 2, FALSE),
  IF(
    SUM(COUNTIF($D$5:$D$571, {"Hybrid system overview","Electric vehicle guide","Infotainment system"})) &gt; 0,
    VLOOKUP(D268, 챕터!$D$4:$E$100, 2, FALSE),
    VLOOKUP(D268, 챕터!$B$4:$C$100, 2, FALSE)
  )
))</f>
        <v>2</v>
      </c>
      <c r="K268" s="57"/>
      <c r="L268"/>
      <c r="M268"/>
      <c r="N268" s="19"/>
      <c r="O268" s="1"/>
    </row>
    <row r="269" spans="2:15">
      <c r="B269" s="55">
        <v>265</v>
      </c>
      <c r="C269" t="s">
        <v>325</v>
      </c>
      <c r="D269" s="85" t="s">
        <v>23</v>
      </c>
      <c r="E269" s="59" t="s">
        <v>1</v>
      </c>
      <c r="F269" s="32">
        <v>4500</v>
      </c>
      <c r="G269" s="56">
        <v>1</v>
      </c>
      <c r="H269" s="32">
        <v>4500</v>
      </c>
      <c r="I269" s="58" t="str">
        <f t="shared" ca="1" si="4"/>
        <v>MV1_EV_27MY_KO</v>
      </c>
      <c r="J269" s="65" cm="1">
        <f t="array" ref="J269">IF(D269="","",IF(
  COUNTIF($D$5:$D$571, "Infotainment system") &gt; 0,
  VLOOKUP(D269, 챕터!$F$4:$G$100, 2, FALSE),
  IF(
    SUM(COUNTIF($D$5:$D$571, {"Hybrid system overview","Electric vehicle guide","Infotainment system"})) &gt; 0,
    VLOOKUP(D269, 챕터!$D$4:$E$100, 2, FALSE),
    VLOOKUP(D269, 챕터!$B$4:$C$100, 2, FALSE)
  )
))</f>
        <v>2</v>
      </c>
      <c r="K269" s="57"/>
      <c r="L269"/>
      <c r="M269"/>
      <c r="N269" s="19"/>
      <c r="O269" s="1"/>
    </row>
    <row r="270" spans="2:15">
      <c r="B270" s="55">
        <v>266</v>
      </c>
      <c r="C270" t="s">
        <v>326</v>
      </c>
      <c r="D270" s="85" t="s">
        <v>23</v>
      </c>
      <c r="E270" s="59" t="s">
        <v>1</v>
      </c>
      <c r="F270" s="32">
        <v>4500</v>
      </c>
      <c r="G270" s="56">
        <v>1</v>
      </c>
      <c r="H270" s="32">
        <v>4500</v>
      </c>
      <c r="I270" s="58" t="str">
        <f t="shared" ca="1" si="4"/>
        <v>MV1_EV_27MY_KO</v>
      </c>
      <c r="J270" s="65" cm="1">
        <f t="array" ref="J270">IF(D270="","",IF(
  COUNTIF($D$5:$D$571, "Infotainment system") &gt; 0,
  VLOOKUP(D270, 챕터!$F$4:$G$100, 2, FALSE),
  IF(
    SUM(COUNTIF($D$5:$D$571, {"Hybrid system overview","Electric vehicle guide","Infotainment system"})) &gt; 0,
    VLOOKUP(D270, 챕터!$D$4:$E$100, 2, FALSE),
    VLOOKUP(D270, 챕터!$B$4:$C$100, 2, FALSE)
  )
))</f>
        <v>2</v>
      </c>
      <c r="K270" s="57"/>
      <c r="L270"/>
      <c r="M270"/>
      <c r="N270" s="19"/>
      <c r="O270" s="1"/>
    </row>
    <row r="271" spans="2:15">
      <c r="B271" s="55">
        <v>267</v>
      </c>
      <c r="C271" t="s">
        <v>327</v>
      </c>
      <c r="D271" s="85" t="s">
        <v>23</v>
      </c>
      <c r="E271" s="59" t="s">
        <v>1</v>
      </c>
      <c r="F271" s="32">
        <v>4500</v>
      </c>
      <c r="G271" s="56">
        <v>1</v>
      </c>
      <c r="H271" s="32">
        <v>4500</v>
      </c>
      <c r="I271" s="58" t="str">
        <f t="shared" ca="1" si="4"/>
        <v>MV1_EV_27MY_KO</v>
      </c>
      <c r="J271" s="65" cm="1">
        <f t="array" ref="J271">IF(D271="","",IF(
  COUNTIF($D$5:$D$571, "Infotainment system") &gt; 0,
  VLOOKUP(D271, 챕터!$F$4:$G$100, 2, FALSE),
  IF(
    SUM(COUNTIF($D$5:$D$571, {"Hybrid system overview","Electric vehicle guide","Infotainment system"})) &gt; 0,
    VLOOKUP(D271, 챕터!$D$4:$E$100, 2, FALSE),
    VLOOKUP(D271, 챕터!$B$4:$C$100, 2, FALSE)
  )
))</f>
        <v>2</v>
      </c>
      <c r="K271" s="57"/>
      <c r="L271"/>
      <c r="M271"/>
      <c r="N271" s="19"/>
      <c r="O271" s="1"/>
    </row>
    <row r="272" spans="2:15">
      <c r="B272" s="55">
        <v>268</v>
      </c>
      <c r="C272" t="s">
        <v>328</v>
      </c>
      <c r="D272" s="85" t="s">
        <v>23</v>
      </c>
      <c r="E272" s="59" t="s">
        <v>1</v>
      </c>
      <c r="F272" s="32">
        <v>4500</v>
      </c>
      <c r="G272" s="56">
        <v>1</v>
      </c>
      <c r="H272" s="32">
        <v>4500</v>
      </c>
      <c r="I272" s="58" t="str">
        <f t="shared" ca="1" si="4"/>
        <v>MV1_EV_27MY_KO</v>
      </c>
      <c r="J272" s="65" cm="1">
        <f t="array" ref="J272">IF(D272="","",IF(
  COUNTIF($D$5:$D$571, "Infotainment system") &gt; 0,
  VLOOKUP(D272, 챕터!$F$4:$G$100, 2, FALSE),
  IF(
    SUM(COUNTIF($D$5:$D$571, {"Hybrid system overview","Electric vehicle guide","Infotainment system"})) &gt; 0,
    VLOOKUP(D272, 챕터!$D$4:$E$100, 2, FALSE),
    VLOOKUP(D272, 챕터!$B$4:$C$100, 2, FALSE)
  )
))</f>
        <v>2</v>
      </c>
      <c r="K272" s="57"/>
      <c r="L272"/>
      <c r="M272"/>
      <c r="N272" s="19"/>
      <c r="O272" s="1"/>
    </row>
    <row r="273" spans="2:15">
      <c r="B273" s="55">
        <v>269</v>
      </c>
      <c r="C273" t="s">
        <v>329</v>
      </c>
      <c r="D273" s="85" t="s">
        <v>23</v>
      </c>
      <c r="E273" s="59" t="s">
        <v>1</v>
      </c>
      <c r="F273" s="32">
        <v>4500</v>
      </c>
      <c r="G273" s="56">
        <v>1</v>
      </c>
      <c r="H273" s="32">
        <v>4500</v>
      </c>
      <c r="I273" s="58" t="str">
        <f t="shared" ca="1" si="4"/>
        <v>MV1_EV_27MY_KO</v>
      </c>
      <c r="J273" s="65" cm="1">
        <f t="array" ref="J273">IF(D273="","",IF(
  COUNTIF($D$5:$D$571, "Infotainment system") &gt; 0,
  VLOOKUP(D273, 챕터!$F$4:$G$100, 2, FALSE),
  IF(
    SUM(COUNTIF($D$5:$D$571, {"Hybrid system overview","Electric vehicle guide","Infotainment system"})) &gt; 0,
    VLOOKUP(D273, 챕터!$D$4:$E$100, 2, FALSE),
    VLOOKUP(D273, 챕터!$B$4:$C$100, 2, FALSE)
  )
))</f>
        <v>2</v>
      </c>
      <c r="K273" s="57"/>
      <c r="L273"/>
      <c r="M273"/>
      <c r="N273" s="19"/>
      <c r="O273" s="1"/>
    </row>
    <row r="274" spans="2:15">
      <c r="B274" s="55">
        <v>270</v>
      </c>
      <c r="C274" t="s">
        <v>330</v>
      </c>
      <c r="D274" s="85" t="s">
        <v>23</v>
      </c>
      <c r="E274" s="59" t="s">
        <v>1</v>
      </c>
      <c r="F274" s="32">
        <v>4500</v>
      </c>
      <c r="G274" s="56">
        <v>1</v>
      </c>
      <c r="H274" s="32">
        <v>4500</v>
      </c>
      <c r="I274" s="58" t="str">
        <f t="shared" ca="1" si="4"/>
        <v>MV1_EV_27MY_KO</v>
      </c>
      <c r="J274" s="65" cm="1">
        <f t="array" ref="J274">IF(D274="","",IF(
  COUNTIF($D$5:$D$571, "Infotainment system") &gt; 0,
  VLOOKUP(D274, 챕터!$F$4:$G$100, 2, FALSE),
  IF(
    SUM(COUNTIF($D$5:$D$571, {"Hybrid system overview","Electric vehicle guide","Infotainment system"})) &gt; 0,
    VLOOKUP(D274, 챕터!$D$4:$E$100, 2, FALSE),
    VLOOKUP(D274, 챕터!$B$4:$C$100, 2, FALSE)
  )
))</f>
        <v>2</v>
      </c>
      <c r="K274" s="57"/>
      <c r="L274"/>
      <c r="M274"/>
      <c r="N274" s="19"/>
      <c r="O274" s="1"/>
    </row>
    <row r="275" spans="2:15">
      <c r="B275" s="55">
        <v>271</v>
      </c>
      <c r="C275" t="s">
        <v>331</v>
      </c>
      <c r="D275" s="85" t="s">
        <v>23</v>
      </c>
      <c r="E275" s="59" t="s">
        <v>1</v>
      </c>
      <c r="F275" s="32">
        <v>4500</v>
      </c>
      <c r="G275" s="56">
        <v>1</v>
      </c>
      <c r="H275" s="32">
        <v>4500</v>
      </c>
      <c r="I275" s="58" t="str">
        <f t="shared" ca="1" si="4"/>
        <v>MV1_EV_27MY_KO</v>
      </c>
      <c r="J275" s="65" cm="1">
        <f t="array" ref="J275">IF(D275="","",IF(
  COUNTIF($D$5:$D$571, "Infotainment system") &gt; 0,
  VLOOKUP(D275, 챕터!$F$4:$G$100, 2, FALSE),
  IF(
    SUM(COUNTIF($D$5:$D$571, {"Hybrid system overview","Electric vehicle guide","Infotainment system"})) &gt; 0,
    VLOOKUP(D275, 챕터!$D$4:$E$100, 2, FALSE),
    VLOOKUP(D275, 챕터!$B$4:$C$100, 2, FALSE)
  )
))</f>
        <v>2</v>
      </c>
      <c r="K275" s="57"/>
      <c r="L275"/>
      <c r="M275"/>
      <c r="N275" s="19"/>
      <c r="O275" s="1"/>
    </row>
    <row r="276" spans="2:15">
      <c r="B276" s="55">
        <v>272</v>
      </c>
      <c r="C276" t="s">
        <v>332</v>
      </c>
      <c r="D276" s="85" t="s">
        <v>23</v>
      </c>
      <c r="E276" s="59" t="s">
        <v>1</v>
      </c>
      <c r="F276" s="32">
        <v>4500</v>
      </c>
      <c r="G276" s="56">
        <v>1</v>
      </c>
      <c r="H276" s="32">
        <v>4500</v>
      </c>
      <c r="I276" s="58" t="str">
        <f t="shared" ca="1" si="4"/>
        <v>MV1_EV_27MY_KO</v>
      </c>
      <c r="J276" s="65" cm="1">
        <f t="array" ref="J276">IF(D276="","",IF(
  COUNTIF($D$5:$D$571, "Infotainment system") &gt; 0,
  VLOOKUP(D276, 챕터!$F$4:$G$100, 2, FALSE),
  IF(
    SUM(COUNTIF($D$5:$D$571, {"Hybrid system overview","Electric vehicle guide","Infotainment system"})) &gt; 0,
    VLOOKUP(D276, 챕터!$D$4:$E$100, 2, FALSE),
    VLOOKUP(D276, 챕터!$B$4:$C$100, 2, FALSE)
  )
))</f>
        <v>2</v>
      </c>
      <c r="K276" s="57"/>
      <c r="L276"/>
      <c r="M276"/>
      <c r="N276" s="19"/>
      <c r="O276" s="1"/>
    </row>
    <row r="277" spans="2:15">
      <c r="B277" s="55">
        <v>273</v>
      </c>
      <c r="C277" t="s">
        <v>333</v>
      </c>
      <c r="D277" s="85" t="s">
        <v>23</v>
      </c>
      <c r="E277" s="59" t="s">
        <v>1</v>
      </c>
      <c r="F277" s="32">
        <v>4500</v>
      </c>
      <c r="G277" s="56">
        <v>1</v>
      </c>
      <c r="H277" s="32">
        <v>4500</v>
      </c>
      <c r="I277" s="58" t="str">
        <f t="shared" ca="1" si="4"/>
        <v>MV1_EV_27MY_KO</v>
      </c>
      <c r="J277" s="65" cm="1">
        <f t="array" ref="J277">IF(D277="","",IF(
  COUNTIF($D$5:$D$571, "Infotainment system") &gt; 0,
  VLOOKUP(D277, 챕터!$F$4:$G$100, 2, FALSE),
  IF(
    SUM(COUNTIF($D$5:$D$571, {"Hybrid system overview","Electric vehicle guide","Infotainment system"})) &gt; 0,
    VLOOKUP(D277, 챕터!$D$4:$E$100, 2, FALSE),
    VLOOKUP(D277, 챕터!$B$4:$C$100, 2, FALSE)
  )
))</f>
        <v>2</v>
      </c>
      <c r="K277" s="57"/>
      <c r="L277"/>
      <c r="M277"/>
      <c r="N277" s="19"/>
      <c r="O277" s="1"/>
    </row>
    <row r="278" spans="2:15">
      <c r="B278" s="55">
        <v>274</v>
      </c>
      <c r="C278" t="s">
        <v>334</v>
      </c>
      <c r="D278" s="85" t="s">
        <v>23</v>
      </c>
      <c r="E278" s="59" t="s">
        <v>1</v>
      </c>
      <c r="F278" s="32">
        <v>4500</v>
      </c>
      <c r="G278" s="56">
        <v>1</v>
      </c>
      <c r="H278" s="32">
        <v>4500</v>
      </c>
      <c r="I278" s="58" t="str">
        <f t="shared" ca="1" si="4"/>
        <v>MV1_EV_27MY_KO</v>
      </c>
      <c r="J278" s="65" cm="1">
        <f t="array" ref="J278">IF(D278="","",IF(
  COUNTIF($D$5:$D$571, "Infotainment system") &gt; 0,
  VLOOKUP(D278, 챕터!$F$4:$G$100, 2, FALSE),
  IF(
    SUM(COUNTIF($D$5:$D$571, {"Hybrid system overview","Electric vehicle guide","Infotainment system"})) &gt; 0,
    VLOOKUP(D278, 챕터!$D$4:$E$100, 2, FALSE),
    VLOOKUP(D278, 챕터!$B$4:$C$100, 2, FALSE)
  )
))</f>
        <v>2</v>
      </c>
      <c r="K278" s="57"/>
      <c r="L278"/>
      <c r="M278"/>
      <c r="N278" s="19"/>
      <c r="O278" s="1"/>
    </row>
    <row r="279" spans="2:15">
      <c r="B279" s="55">
        <v>275</v>
      </c>
      <c r="C279" t="s">
        <v>335</v>
      </c>
      <c r="D279" s="85" t="s">
        <v>23</v>
      </c>
      <c r="E279" s="59" t="s">
        <v>1</v>
      </c>
      <c r="F279" s="32">
        <v>4500</v>
      </c>
      <c r="G279" s="56">
        <v>1</v>
      </c>
      <c r="H279" s="32">
        <v>4500</v>
      </c>
      <c r="I279" s="58" t="str">
        <f t="shared" ca="1" si="4"/>
        <v>MV1_EV_27MY_KO</v>
      </c>
      <c r="J279" s="65" cm="1">
        <f t="array" ref="J279">IF(D279="","",IF(
  COUNTIF($D$5:$D$571, "Infotainment system") &gt; 0,
  VLOOKUP(D279, 챕터!$F$4:$G$100, 2, FALSE),
  IF(
    SUM(COUNTIF($D$5:$D$571, {"Hybrid system overview","Electric vehicle guide","Infotainment system"})) &gt; 0,
    VLOOKUP(D279, 챕터!$D$4:$E$100, 2, FALSE),
    VLOOKUP(D279, 챕터!$B$4:$C$100, 2, FALSE)
  )
))</f>
        <v>2</v>
      </c>
      <c r="K279" s="57"/>
      <c r="L279"/>
      <c r="M279"/>
      <c r="N279" s="19"/>
      <c r="O279" s="1"/>
    </row>
    <row r="280" spans="2:15">
      <c r="B280" s="55">
        <v>276</v>
      </c>
      <c r="C280" t="s">
        <v>336</v>
      </c>
      <c r="D280" s="85" t="s">
        <v>23</v>
      </c>
      <c r="E280" s="59" t="s">
        <v>1</v>
      </c>
      <c r="F280" s="32">
        <v>4500</v>
      </c>
      <c r="G280" s="56">
        <v>1</v>
      </c>
      <c r="H280" s="32">
        <v>4500</v>
      </c>
      <c r="I280" s="58" t="str">
        <f t="shared" ca="1" si="4"/>
        <v>MV1_EV_27MY_KO</v>
      </c>
      <c r="J280" s="65" cm="1">
        <f t="array" ref="J280">IF(D280="","",IF(
  COUNTIF($D$5:$D$571, "Infotainment system") &gt; 0,
  VLOOKUP(D280, 챕터!$F$4:$G$100, 2, FALSE),
  IF(
    SUM(COUNTIF($D$5:$D$571, {"Hybrid system overview","Electric vehicle guide","Infotainment system"})) &gt; 0,
    VLOOKUP(D280, 챕터!$D$4:$E$100, 2, FALSE),
    VLOOKUP(D280, 챕터!$B$4:$C$100, 2, FALSE)
  )
))</f>
        <v>2</v>
      </c>
      <c r="K280" s="57"/>
      <c r="L280"/>
      <c r="M280"/>
      <c r="N280" s="19"/>
      <c r="O280" s="1"/>
    </row>
    <row r="281" spans="2:15">
      <c r="B281" s="55">
        <v>277</v>
      </c>
      <c r="C281" t="s">
        <v>337</v>
      </c>
      <c r="D281" s="85" t="s">
        <v>23</v>
      </c>
      <c r="E281" s="59" t="s">
        <v>1</v>
      </c>
      <c r="F281" s="32">
        <v>4500</v>
      </c>
      <c r="G281" s="56">
        <v>1</v>
      </c>
      <c r="H281" s="32">
        <v>4500</v>
      </c>
      <c r="I281" s="58" t="str">
        <f t="shared" ca="1" si="4"/>
        <v>MV1_EV_27MY_KO</v>
      </c>
      <c r="J281" s="65" cm="1">
        <f t="array" ref="J281">IF(D281="","",IF(
  COUNTIF($D$5:$D$571, "Infotainment system") &gt; 0,
  VLOOKUP(D281, 챕터!$F$4:$G$100, 2, FALSE),
  IF(
    SUM(COUNTIF($D$5:$D$571, {"Hybrid system overview","Electric vehicle guide","Infotainment system"})) &gt; 0,
    VLOOKUP(D281, 챕터!$D$4:$E$100, 2, FALSE),
    VLOOKUP(D281, 챕터!$B$4:$C$100, 2, FALSE)
  )
))</f>
        <v>2</v>
      </c>
      <c r="K281" s="57"/>
      <c r="L281"/>
      <c r="M281"/>
      <c r="N281" s="19"/>
      <c r="O281" s="1"/>
    </row>
    <row r="282" spans="2:15">
      <c r="B282" s="55">
        <v>278</v>
      </c>
      <c r="C282" t="s">
        <v>338</v>
      </c>
      <c r="D282" s="85" t="s">
        <v>23</v>
      </c>
      <c r="E282" s="59" t="s">
        <v>1</v>
      </c>
      <c r="F282" s="32">
        <v>4500</v>
      </c>
      <c r="G282" s="56">
        <v>1</v>
      </c>
      <c r="H282" s="32">
        <v>4500</v>
      </c>
      <c r="I282" s="58" t="str">
        <f t="shared" ca="1" si="4"/>
        <v>MV1_EV_27MY_KO</v>
      </c>
      <c r="J282" s="65" cm="1">
        <f t="array" ref="J282">IF(D282="","",IF(
  COUNTIF($D$5:$D$571, "Infotainment system") &gt; 0,
  VLOOKUP(D282, 챕터!$F$4:$G$100, 2, FALSE),
  IF(
    SUM(COUNTIF($D$5:$D$571, {"Hybrid system overview","Electric vehicle guide","Infotainment system"})) &gt; 0,
    VLOOKUP(D282, 챕터!$D$4:$E$100, 2, FALSE),
    VLOOKUP(D282, 챕터!$B$4:$C$100, 2, FALSE)
  )
))</f>
        <v>2</v>
      </c>
      <c r="K282" s="57"/>
      <c r="L282"/>
      <c r="M282"/>
      <c r="N282" s="19"/>
      <c r="O282" s="1"/>
    </row>
    <row r="283" spans="2:15">
      <c r="B283" s="55">
        <v>279</v>
      </c>
      <c r="C283" t="s">
        <v>339</v>
      </c>
      <c r="D283" s="85" t="s">
        <v>23</v>
      </c>
      <c r="E283" s="59" t="s">
        <v>1</v>
      </c>
      <c r="F283" s="32">
        <v>4500</v>
      </c>
      <c r="G283" s="56">
        <v>1</v>
      </c>
      <c r="H283" s="32">
        <v>4500</v>
      </c>
      <c r="I283" s="58" t="str">
        <f t="shared" ca="1" si="4"/>
        <v>MV1_EV_27MY_KO</v>
      </c>
      <c r="J283" s="65" cm="1">
        <f t="array" ref="J283">IF(D283="","",IF(
  COUNTIF($D$5:$D$571, "Infotainment system") &gt; 0,
  VLOOKUP(D283, 챕터!$F$4:$G$100, 2, FALSE),
  IF(
    SUM(COUNTIF($D$5:$D$571, {"Hybrid system overview","Electric vehicle guide","Infotainment system"})) &gt; 0,
    VLOOKUP(D283, 챕터!$D$4:$E$100, 2, FALSE),
    VLOOKUP(D283, 챕터!$B$4:$C$100, 2, FALSE)
  )
))</f>
        <v>2</v>
      </c>
      <c r="K283" s="57"/>
      <c r="L283"/>
      <c r="M283"/>
      <c r="N283" s="19"/>
      <c r="O283" s="1"/>
    </row>
    <row r="284" spans="2:15">
      <c r="B284" s="55">
        <v>280</v>
      </c>
      <c r="C284" t="s">
        <v>340</v>
      </c>
      <c r="D284" s="85" t="s">
        <v>23</v>
      </c>
      <c r="E284" s="59" t="s">
        <v>1</v>
      </c>
      <c r="F284" s="32">
        <v>4500</v>
      </c>
      <c r="G284" s="56">
        <v>1</v>
      </c>
      <c r="H284" s="32">
        <v>4500</v>
      </c>
      <c r="I284" s="58" t="str">
        <f t="shared" ca="1" si="4"/>
        <v>MV1_EV_27MY_KO</v>
      </c>
      <c r="J284" s="65" cm="1">
        <f t="array" ref="J284">IF(D284="","",IF(
  COUNTIF($D$5:$D$571, "Infotainment system") &gt; 0,
  VLOOKUP(D284, 챕터!$F$4:$G$100, 2, FALSE),
  IF(
    SUM(COUNTIF($D$5:$D$571, {"Hybrid system overview","Electric vehicle guide","Infotainment system"})) &gt; 0,
    VLOOKUP(D284, 챕터!$D$4:$E$100, 2, FALSE),
    VLOOKUP(D284, 챕터!$B$4:$C$100, 2, FALSE)
  )
))</f>
        <v>2</v>
      </c>
      <c r="K284" s="57"/>
      <c r="L284"/>
      <c r="M284"/>
      <c r="N284" s="19"/>
      <c r="O284" s="1"/>
    </row>
    <row r="285" spans="2:15">
      <c r="B285" s="55">
        <v>281</v>
      </c>
      <c r="C285" t="s">
        <v>341</v>
      </c>
      <c r="D285" s="85" t="s">
        <v>23</v>
      </c>
      <c r="E285" s="59" t="s">
        <v>1</v>
      </c>
      <c r="F285" s="32">
        <v>4500</v>
      </c>
      <c r="G285" s="56">
        <v>1</v>
      </c>
      <c r="H285" s="32">
        <v>4500</v>
      </c>
      <c r="I285" s="58" t="str">
        <f t="shared" ca="1" si="4"/>
        <v>MV1_EV_27MY_KO</v>
      </c>
      <c r="J285" s="65" cm="1">
        <f t="array" ref="J285">IF(D285="","",IF(
  COUNTIF($D$5:$D$571, "Infotainment system") &gt; 0,
  VLOOKUP(D285, 챕터!$F$4:$G$100, 2, FALSE),
  IF(
    SUM(COUNTIF($D$5:$D$571, {"Hybrid system overview","Electric vehicle guide","Infotainment system"})) &gt; 0,
    VLOOKUP(D285, 챕터!$D$4:$E$100, 2, FALSE),
    VLOOKUP(D285, 챕터!$B$4:$C$100, 2, FALSE)
  )
))</f>
        <v>2</v>
      </c>
      <c r="K285" s="57"/>
      <c r="L285"/>
      <c r="M285"/>
      <c r="N285" s="19"/>
      <c r="O285" s="1"/>
    </row>
    <row r="286" spans="2:15">
      <c r="B286" s="55">
        <v>282</v>
      </c>
      <c r="C286" t="s">
        <v>342</v>
      </c>
      <c r="D286" s="85" t="s">
        <v>23</v>
      </c>
      <c r="E286" s="59" t="s">
        <v>1</v>
      </c>
      <c r="F286" s="32">
        <v>4500</v>
      </c>
      <c r="G286" s="56">
        <v>1</v>
      </c>
      <c r="H286" s="32">
        <v>4500</v>
      </c>
      <c r="I286" s="58" t="str">
        <f t="shared" ca="1" si="4"/>
        <v>MV1_EV_27MY_KO</v>
      </c>
      <c r="J286" s="65" cm="1">
        <f t="array" ref="J286">IF(D286="","",IF(
  COUNTIF($D$5:$D$571, "Infotainment system") &gt; 0,
  VLOOKUP(D286, 챕터!$F$4:$G$100, 2, FALSE),
  IF(
    SUM(COUNTIF($D$5:$D$571, {"Hybrid system overview","Electric vehicle guide","Infotainment system"})) &gt; 0,
    VLOOKUP(D286, 챕터!$D$4:$E$100, 2, FALSE),
    VLOOKUP(D286, 챕터!$B$4:$C$100, 2, FALSE)
  )
))</f>
        <v>2</v>
      </c>
      <c r="K286" s="57"/>
      <c r="L286"/>
      <c r="M286"/>
      <c r="N286" s="19"/>
      <c r="O286" s="1"/>
    </row>
    <row r="287" spans="2:15">
      <c r="B287" s="55">
        <v>283</v>
      </c>
      <c r="C287" t="s">
        <v>343</v>
      </c>
      <c r="D287" s="85" t="s">
        <v>23</v>
      </c>
      <c r="E287" s="59" t="s">
        <v>1</v>
      </c>
      <c r="F287" s="32">
        <v>4500</v>
      </c>
      <c r="G287" s="56">
        <v>1</v>
      </c>
      <c r="H287" s="32">
        <v>4500</v>
      </c>
      <c r="I287" s="58" t="str">
        <f t="shared" ca="1" si="4"/>
        <v>MV1_EV_27MY_KO</v>
      </c>
      <c r="J287" s="65" cm="1">
        <f t="array" ref="J287">IF(D287="","",IF(
  COUNTIF($D$5:$D$571, "Infotainment system") &gt; 0,
  VLOOKUP(D287, 챕터!$F$4:$G$100, 2, FALSE),
  IF(
    SUM(COUNTIF($D$5:$D$571, {"Hybrid system overview","Electric vehicle guide","Infotainment system"})) &gt; 0,
    VLOOKUP(D287, 챕터!$D$4:$E$100, 2, FALSE),
    VLOOKUP(D287, 챕터!$B$4:$C$100, 2, FALSE)
  )
))</f>
        <v>2</v>
      </c>
      <c r="K287" s="57"/>
      <c r="L287"/>
      <c r="M287"/>
      <c r="N287" s="19"/>
      <c r="O287" s="1"/>
    </row>
    <row r="288" spans="2:15">
      <c r="B288" s="55">
        <v>284</v>
      </c>
      <c r="C288" t="s">
        <v>344</v>
      </c>
      <c r="D288" s="85" t="s">
        <v>23</v>
      </c>
      <c r="E288" s="59" t="s">
        <v>1</v>
      </c>
      <c r="F288" s="32">
        <v>4500</v>
      </c>
      <c r="G288" s="56">
        <v>1</v>
      </c>
      <c r="H288" s="32">
        <v>4500</v>
      </c>
      <c r="I288" s="58" t="str">
        <f t="shared" ca="1" si="4"/>
        <v>MV1_EV_27MY_KO</v>
      </c>
      <c r="J288" s="65" cm="1">
        <f t="array" ref="J288">IF(D288="","",IF(
  COUNTIF($D$5:$D$571, "Infotainment system") &gt; 0,
  VLOOKUP(D288, 챕터!$F$4:$G$100, 2, FALSE),
  IF(
    SUM(COUNTIF($D$5:$D$571, {"Hybrid system overview","Electric vehicle guide","Infotainment system"})) &gt; 0,
    VLOOKUP(D288, 챕터!$D$4:$E$100, 2, FALSE),
    VLOOKUP(D288, 챕터!$B$4:$C$100, 2, FALSE)
  )
))</f>
        <v>2</v>
      </c>
      <c r="K288" s="57"/>
      <c r="L288"/>
      <c r="M288"/>
      <c r="N288" s="19"/>
      <c r="O288" s="1"/>
    </row>
    <row r="289" spans="2:15">
      <c r="B289" s="55">
        <v>285</v>
      </c>
      <c r="C289" t="s">
        <v>345</v>
      </c>
      <c r="D289" s="85" t="s">
        <v>23</v>
      </c>
      <c r="E289" s="59" t="s">
        <v>1</v>
      </c>
      <c r="F289" s="32">
        <v>4500</v>
      </c>
      <c r="G289" s="56">
        <v>1</v>
      </c>
      <c r="H289" s="32">
        <v>4500</v>
      </c>
      <c r="I289" s="58" t="str">
        <f t="shared" ca="1" si="4"/>
        <v>MV1_EV_27MY_KO</v>
      </c>
      <c r="J289" s="65" cm="1">
        <f t="array" ref="J289">IF(D289="","",IF(
  COUNTIF($D$5:$D$571, "Infotainment system") &gt; 0,
  VLOOKUP(D289, 챕터!$F$4:$G$100, 2, FALSE),
  IF(
    SUM(COUNTIF($D$5:$D$571, {"Hybrid system overview","Electric vehicle guide","Infotainment system"})) &gt; 0,
    VLOOKUP(D289, 챕터!$D$4:$E$100, 2, FALSE),
    VLOOKUP(D289, 챕터!$B$4:$C$100, 2, FALSE)
  )
))</f>
        <v>2</v>
      </c>
      <c r="K289" s="57"/>
      <c r="L289"/>
      <c r="M289"/>
      <c r="N289" s="19"/>
      <c r="O289" s="1"/>
    </row>
    <row r="290" spans="2:15">
      <c r="B290" s="55">
        <v>286</v>
      </c>
      <c r="C290" t="s">
        <v>346</v>
      </c>
      <c r="D290" s="85" t="s">
        <v>23</v>
      </c>
      <c r="E290" s="59" t="s">
        <v>1</v>
      </c>
      <c r="F290" s="32">
        <v>4500</v>
      </c>
      <c r="G290" s="56">
        <v>1</v>
      </c>
      <c r="H290" s="32">
        <v>4500</v>
      </c>
      <c r="I290" s="58" t="str">
        <f t="shared" ca="1" si="4"/>
        <v>MV1_EV_27MY_KO</v>
      </c>
      <c r="J290" s="65" cm="1">
        <f t="array" ref="J290">IF(D290="","",IF(
  COUNTIF($D$5:$D$571, "Infotainment system") &gt; 0,
  VLOOKUP(D290, 챕터!$F$4:$G$100, 2, FALSE),
  IF(
    SUM(COUNTIF($D$5:$D$571, {"Hybrid system overview","Electric vehicle guide","Infotainment system"})) &gt; 0,
    VLOOKUP(D290, 챕터!$D$4:$E$100, 2, FALSE),
    VLOOKUP(D290, 챕터!$B$4:$C$100, 2, FALSE)
  )
))</f>
        <v>2</v>
      </c>
      <c r="K290" s="57"/>
      <c r="L290"/>
      <c r="M290"/>
      <c r="N290" s="19"/>
      <c r="O290" s="1"/>
    </row>
    <row r="291" spans="2:15">
      <c r="B291" s="55">
        <v>287</v>
      </c>
      <c r="C291" t="s">
        <v>347</v>
      </c>
      <c r="D291" s="85" t="s">
        <v>23</v>
      </c>
      <c r="E291" s="59" t="s">
        <v>1</v>
      </c>
      <c r="F291" s="32">
        <v>4500</v>
      </c>
      <c r="G291" s="56">
        <v>1</v>
      </c>
      <c r="H291" s="32">
        <v>4500</v>
      </c>
      <c r="I291" s="58" t="str">
        <f t="shared" ca="1" si="4"/>
        <v>MV1_EV_27MY_KO</v>
      </c>
      <c r="J291" s="65" cm="1">
        <f t="array" ref="J291">IF(D291="","",IF(
  COUNTIF($D$5:$D$571, "Infotainment system") &gt; 0,
  VLOOKUP(D291, 챕터!$F$4:$G$100, 2, FALSE),
  IF(
    SUM(COUNTIF($D$5:$D$571, {"Hybrid system overview","Electric vehicle guide","Infotainment system"})) &gt; 0,
    VLOOKUP(D291, 챕터!$D$4:$E$100, 2, FALSE),
    VLOOKUP(D291, 챕터!$B$4:$C$100, 2, FALSE)
  )
))</f>
        <v>2</v>
      </c>
      <c r="K291" s="57"/>
      <c r="L291"/>
      <c r="M291"/>
      <c r="N291" s="19"/>
      <c r="O291" s="1"/>
    </row>
    <row r="292" spans="2:15">
      <c r="B292" s="55">
        <v>288</v>
      </c>
      <c r="C292" t="s">
        <v>348</v>
      </c>
      <c r="D292" s="85" t="s">
        <v>23</v>
      </c>
      <c r="E292" s="59" t="s">
        <v>1</v>
      </c>
      <c r="F292" s="32">
        <v>4500</v>
      </c>
      <c r="G292" s="56">
        <v>1</v>
      </c>
      <c r="H292" s="32">
        <v>4500</v>
      </c>
      <c r="I292" s="58" t="str">
        <f t="shared" ca="1" si="4"/>
        <v>MV1_EV_27MY_KO</v>
      </c>
      <c r="J292" s="65" cm="1">
        <f t="array" ref="J292">IF(D292="","",IF(
  COUNTIF($D$5:$D$571, "Infotainment system") &gt; 0,
  VLOOKUP(D292, 챕터!$F$4:$G$100, 2, FALSE),
  IF(
    SUM(COUNTIF($D$5:$D$571, {"Hybrid system overview","Electric vehicle guide","Infotainment system"})) &gt; 0,
    VLOOKUP(D292, 챕터!$D$4:$E$100, 2, FALSE),
    VLOOKUP(D292, 챕터!$B$4:$C$100, 2, FALSE)
  )
))</f>
        <v>2</v>
      </c>
      <c r="K292" s="57"/>
      <c r="L292"/>
      <c r="M292"/>
      <c r="N292" s="19"/>
      <c r="O292" s="1"/>
    </row>
    <row r="293" spans="2:15">
      <c r="B293" s="55">
        <v>289</v>
      </c>
      <c r="C293" t="s">
        <v>349</v>
      </c>
      <c r="D293" s="85" t="s">
        <v>23</v>
      </c>
      <c r="E293" s="59" t="s">
        <v>1</v>
      </c>
      <c r="F293" s="32">
        <v>4500</v>
      </c>
      <c r="G293" s="56">
        <v>1</v>
      </c>
      <c r="H293" s="32">
        <v>4500</v>
      </c>
      <c r="I293" s="58" t="str">
        <f t="shared" ca="1" si="4"/>
        <v>MV1_EV_27MY_KO</v>
      </c>
      <c r="J293" s="65" cm="1">
        <f t="array" ref="J293">IF(D293="","",IF(
  COUNTIF($D$5:$D$571, "Infotainment system") &gt; 0,
  VLOOKUP(D293, 챕터!$F$4:$G$100, 2, FALSE),
  IF(
    SUM(COUNTIF($D$5:$D$571, {"Hybrid system overview","Electric vehicle guide","Infotainment system"})) &gt; 0,
    VLOOKUP(D293, 챕터!$D$4:$E$100, 2, FALSE),
    VLOOKUP(D293, 챕터!$B$4:$C$100, 2, FALSE)
  )
))</f>
        <v>2</v>
      </c>
      <c r="K293" s="57"/>
      <c r="L293"/>
      <c r="M293"/>
      <c r="N293" s="19"/>
      <c r="O293" s="1"/>
    </row>
    <row r="294" spans="2:15">
      <c r="B294" s="55">
        <v>290</v>
      </c>
      <c r="C294" t="s">
        <v>350</v>
      </c>
      <c r="D294" s="85" t="s">
        <v>23</v>
      </c>
      <c r="E294" s="59" t="s">
        <v>1</v>
      </c>
      <c r="F294" s="32">
        <v>4500</v>
      </c>
      <c r="G294" s="56">
        <v>1</v>
      </c>
      <c r="H294" s="32">
        <v>4500</v>
      </c>
      <c r="I294" s="58" t="str">
        <f t="shared" ca="1" si="4"/>
        <v>MV1_EV_27MY_KO</v>
      </c>
      <c r="J294" s="65" cm="1">
        <f t="array" ref="J294">IF(D294="","",IF(
  COUNTIF($D$5:$D$571, "Infotainment system") &gt; 0,
  VLOOKUP(D294, 챕터!$F$4:$G$100, 2, FALSE),
  IF(
    SUM(COUNTIF($D$5:$D$571, {"Hybrid system overview","Electric vehicle guide","Infotainment system"})) &gt; 0,
    VLOOKUP(D294, 챕터!$D$4:$E$100, 2, FALSE),
    VLOOKUP(D294, 챕터!$B$4:$C$100, 2, FALSE)
  )
))</f>
        <v>2</v>
      </c>
      <c r="K294" s="57"/>
      <c r="L294"/>
      <c r="M294"/>
      <c r="N294" s="19"/>
      <c r="O294" s="1"/>
    </row>
    <row r="295" spans="2:15">
      <c r="B295" s="55">
        <v>291</v>
      </c>
      <c r="C295" t="s">
        <v>351</v>
      </c>
      <c r="D295" s="85" t="s">
        <v>23</v>
      </c>
      <c r="E295" s="59" t="s">
        <v>1</v>
      </c>
      <c r="F295" s="32">
        <v>4500</v>
      </c>
      <c r="G295" s="56">
        <v>1</v>
      </c>
      <c r="H295" s="32">
        <v>4500</v>
      </c>
      <c r="I295" s="58" t="str">
        <f t="shared" ca="1" si="4"/>
        <v>MV1_EV_27MY_KO</v>
      </c>
      <c r="J295" s="65" cm="1">
        <f t="array" ref="J295">IF(D295="","",IF(
  COUNTIF($D$5:$D$571, "Infotainment system") &gt; 0,
  VLOOKUP(D295, 챕터!$F$4:$G$100, 2, FALSE),
  IF(
    SUM(COUNTIF($D$5:$D$571, {"Hybrid system overview","Electric vehicle guide","Infotainment system"})) &gt; 0,
    VLOOKUP(D295, 챕터!$D$4:$E$100, 2, FALSE),
    VLOOKUP(D295, 챕터!$B$4:$C$100, 2, FALSE)
  )
))</f>
        <v>2</v>
      </c>
      <c r="K295" s="57"/>
      <c r="L295"/>
      <c r="M295"/>
      <c r="N295" s="19"/>
      <c r="O295" s="1"/>
    </row>
    <row r="296" spans="2:15">
      <c r="B296" s="55">
        <v>292</v>
      </c>
      <c r="C296" t="s">
        <v>352</v>
      </c>
      <c r="D296" s="85" t="s">
        <v>23</v>
      </c>
      <c r="E296" s="59" t="s">
        <v>1</v>
      </c>
      <c r="F296" s="32">
        <v>4500</v>
      </c>
      <c r="G296" s="56">
        <v>1</v>
      </c>
      <c r="H296" s="32">
        <v>4500</v>
      </c>
      <c r="I296" s="58" t="str">
        <f t="shared" ca="1" si="4"/>
        <v>MV1_EV_27MY_KO</v>
      </c>
      <c r="J296" s="65" cm="1">
        <f t="array" ref="J296">IF(D296="","",IF(
  COUNTIF($D$5:$D$571, "Infotainment system") &gt; 0,
  VLOOKUP(D296, 챕터!$F$4:$G$100, 2, FALSE),
  IF(
    SUM(COUNTIF($D$5:$D$571, {"Hybrid system overview","Electric vehicle guide","Infotainment system"})) &gt; 0,
    VLOOKUP(D296, 챕터!$D$4:$E$100, 2, FALSE),
    VLOOKUP(D296, 챕터!$B$4:$C$100, 2, FALSE)
  )
))</f>
        <v>2</v>
      </c>
      <c r="K296" s="57"/>
      <c r="L296"/>
      <c r="M296"/>
      <c r="N296" s="19"/>
      <c r="O296" s="1"/>
    </row>
    <row r="297" spans="2:15">
      <c r="B297" s="55">
        <v>293</v>
      </c>
      <c r="C297" t="s">
        <v>353</v>
      </c>
      <c r="D297" s="85" t="s">
        <v>23</v>
      </c>
      <c r="E297" s="59" t="s">
        <v>1</v>
      </c>
      <c r="F297" s="32">
        <v>4500</v>
      </c>
      <c r="G297" s="56">
        <v>1</v>
      </c>
      <c r="H297" s="32">
        <v>4500</v>
      </c>
      <c r="I297" s="58" t="str">
        <f t="shared" ca="1" si="4"/>
        <v>MV1_EV_27MY_KO</v>
      </c>
      <c r="J297" s="65" cm="1">
        <f t="array" ref="J297">IF(D297="","",IF(
  COUNTIF($D$5:$D$571, "Infotainment system") &gt; 0,
  VLOOKUP(D297, 챕터!$F$4:$G$100, 2, FALSE),
  IF(
    SUM(COUNTIF($D$5:$D$571, {"Hybrid system overview","Electric vehicle guide","Infotainment system"})) &gt; 0,
    VLOOKUP(D297, 챕터!$D$4:$E$100, 2, FALSE),
    VLOOKUP(D297, 챕터!$B$4:$C$100, 2, FALSE)
  )
))</f>
        <v>2</v>
      </c>
      <c r="K297" s="57"/>
      <c r="L297"/>
      <c r="M297"/>
      <c r="N297" s="19"/>
      <c r="O297" s="1"/>
    </row>
    <row r="298" spans="2:15">
      <c r="B298" s="55">
        <v>294</v>
      </c>
      <c r="C298" t="s">
        <v>354</v>
      </c>
      <c r="D298" s="85" t="s">
        <v>23</v>
      </c>
      <c r="E298" s="59" t="s">
        <v>1</v>
      </c>
      <c r="F298" s="32">
        <v>4500</v>
      </c>
      <c r="G298" s="56">
        <v>1</v>
      </c>
      <c r="H298" s="32">
        <v>4500</v>
      </c>
      <c r="I298" s="58" t="str">
        <f t="shared" ca="1" si="4"/>
        <v>MV1_EV_27MY_KO</v>
      </c>
      <c r="J298" s="65" cm="1">
        <f t="array" ref="J298">IF(D298="","",IF(
  COUNTIF($D$5:$D$571, "Infotainment system") &gt; 0,
  VLOOKUP(D298, 챕터!$F$4:$G$100, 2, FALSE),
  IF(
    SUM(COUNTIF($D$5:$D$571, {"Hybrid system overview","Electric vehicle guide","Infotainment system"})) &gt; 0,
    VLOOKUP(D298, 챕터!$D$4:$E$100, 2, FALSE),
    VLOOKUP(D298, 챕터!$B$4:$C$100, 2, FALSE)
  )
))</f>
        <v>2</v>
      </c>
      <c r="K298" s="57"/>
      <c r="L298"/>
      <c r="M298"/>
      <c r="N298" s="19"/>
      <c r="O298" s="1"/>
    </row>
    <row r="299" spans="2:15">
      <c r="B299" s="55">
        <v>295</v>
      </c>
      <c r="C299" t="s">
        <v>355</v>
      </c>
      <c r="D299" s="85" t="s">
        <v>23</v>
      </c>
      <c r="E299" s="59" t="s">
        <v>1</v>
      </c>
      <c r="F299" s="32">
        <v>4500</v>
      </c>
      <c r="G299" s="56">
        <v>1</v>
      </c>
      <c r="H299" s="32">
        <v>4500</v>
      </c>
      <c r="I299" s="58" t="str">
        <f t="shared" ca="1" si="4"/>
        <v>MV1_EV_27MY_KO</v>
      </c>
      <c r="J299" s="65" cm="1">
        <f t="array" ref="J299">IF(D299="","",IF(
  COUNTIF($D$5:$D$571, "Infotainment system") &gt; 0,
  VLOOKUP(D299, 챕터!$F$4:$G$100, 2, FALSE),
  IF(
    SUM(COUNTIF($D$5:$D$571, {"Hybrid system overview","Electric vehicle guide","Infotainment system"})) &gt; 0,
    VLOOKUP(D299, 챕터!$D$4:$E$100, 2, FALSE),
    VLOOKUP(D299, 챕터!$B$4:$C$100, 2, FALSE)
  )
))</f>
        <v>2</v>
      </c>
      <c r="K299" s="57"/>
      <c r="L299"/>
      <c r="M299"/>
      <c r="N299" s="19"/>
      <c r="O299" s="1"/>
    </row>
    <row r="300" spans="2:15">
      <c r="B300" s="55">
        <v>296</v>
      </c>
      <c r="C300" t="s">
        <v>356</v>
      </c>
      <c r="D300" s="85" t="s">
        <v>23</v>
      </c>
      <c r="E300" s="59" t="s">
        <v>1</v>
      </c>
      <c r="F300" s="32">
        <v>4500</v>
      </c>
      <c r="G300" s="56">
        <v>1</v>
      </c>
      <c r="H300" s="32">
        <v>4500</v>
      </c>
      <c r="I300" s="58" t="str">
        <f t="shared" ca="1" si="4"/>
        <v>MV1_EV_27MY_KO</v>
      </c>
      <c r="J300" s="65" cm="1">
        <f t="array" ref="J300">IF(D300="","",IF(
  COUNTIF($D$5:$D$571, "Infotainment system") &gt; 0,
  VLOOKUP(D300, 챕터!$F$4:$G$100, 2, FALSE),
  IF(
    SUM(COUNTIF($D$5:$D$571, {"Hybrid system overview","Electric vehicle guide","Infotainment system"})) &gt; 0,
    VLOOKUP(D300, 챕터!$D$4:$E$100, 2, FALSE),
    VLOOKUP(D300, 챕터!$B$4:$C$100, 2, FALSE)
  )
))</f>
        <v>2</v>
      </c>
      <c r="K300" s="57"/>
      <c r="L300"/>
      <c r="M300"/>
      <c r="N300" s="19"/>
      <c r="O300" s="1"/>
    </row>
    <row r="301" spans="2:15">
      <c r="B301" s="55">
        <v>297</v>
      </c>
      <c r="C301" t="s">
        <v>357</v>
      </c>
      <c r="D301" s="85" t="s">
        <v>23</v>
      </c>
      <c r="E301" s="59" t="s">
        <v>1</v>
      </c>
      <c r="F301" s="32">
        <v>4500</v>
      </c>
      <c r="G301" s="56">
        <v>1</v>
      </c>
      <c r="H301" s="32">
        <v>4500</v>
      </c>
      <c r="I301" s="58" t="str">
        <f t="shared" ca="1" si="4"/>
        <v>MV1_EV_27MY_KO</v>
      </c>
      <c r="J301" s="65" cm="1">
        <f t="array" ref="J301">IF(D301="","",IF(
  COUNTIF($D$5:$D$571, "Infotainment system") &gt; 0,
  VLOOKUP(D301, 챕터!$F$4:$G$100, 2, FALSE),
  IF(
    SUM(COUNTIF($D$5:$D$571, {"Hybrid system overview","Electric vehicle guide","Infotainment system"})) &gt; 0,
    VLOOKUP(D301, 챕터!$D$4:$E$100, 2, FALSE),
    VLOOKUP(D301, 챕터!$B$4:$C$100, 2, FALSE)
  )
))</f>
        <v>2</v>
      </c>
      <c r="K301" s="57"/>
      <c r="L301"/>
      <c r="M301"/>
      <c r="N301" s="19"/>
      <c r="O301" s="1"/>
    </row>
    <row r="302" spans="2:15">
      <c r="B302" s="55">
        <v>298</v>
      </c>
      <c r="C302" t="s">
        <v>358</v>
      </c>
      <c r="D302" s="85" t="s">
        <v>23</v>
      </c>
      <c r="E302" s="59" t="s">
        <v>1</v>
      </c>
      <c r="F302" s="32">
        <v>4500</v>
      </c>
      <c r="G302" s="56">
        <v>1</v>
      </c>
      <c r="H302" s="32">
        <v>4500</v>
      </c>
      <c r="I302" s="58" t="str">
        <f t="shared" ca="1" si="4"/>
        <v>MV1_EV_27MY_KO</v>
      </c>
      <c r="J302" s="65" cm="1">
        <f t="array" ref="J302">IF(D302="","",IF(
  COUNTIF($D$5:$D$571, "Infotainment system") &gt; 0,
  VLOOKUP(D302, 챕터!$F$4:$G$100, 2, FALSE),
  IF(
    SUM(COUNTIF($D$5:$D$571, {"Hybrid system overview","Electric vehicle guide","Infotainment system"})) &gt; 0,
    VLOOKUP(D302, 챕터!$D$4:$E$100, 2, FALSE),
    VLOOKUP(D302, 챕터!$B$4:$C$100, 2, FALSE)
  )
))</f>
        <v>2</v>
      </c>
      <c r="K302" s="57"/>
      <c r="L302"/>
      <c r="M302"/>
      <c r="N302" s="19"/>
      <c r="O302" s="1"/>
    </row>
    <row r="303" spans="2:15">
      <c r="B303" s="55">
        <v>299</v>
      </c>
      <c r="C303" t="s">
        <v>359</v>
      </c>
      <c r="D303" s="85" t="s">
        <v>23</v>
      </c>
      <c r="E303" s="59" t="s">
        <v>1</v>
      </c>
      <c r="F303" s="32">
        <v>4500</v>
      </c>
      <c r="G303" s="56">
        <v>1</v>
      </c>
      <c r="H303" s="32">
        <v>4500</v>
      </c>
      <c r="I303" s="58" t="str">
        <f t="shared" ca="1" si="4"/>
        <v>MV1_EV_27MY_KO</v>
      </c>
      <c r="J303" s="65" cm="1">
        <f t="array" ref="J303">IF(D303="","",IF(
  COUNTIF($D$5:$D$571, "Infotainment system") &gt; 0,
  VLOOKUP(D303, 챕터!$F$4:$G$100, 2, FALSE),
  IF(
    SUM(COUNTIF($D$5:$D$571, {"Hybrid system overview","Electric vehicle guide","Infotainment system"})) &gt; 0,
    VLOOKUP(D303, 챕터!$D$4:$E$100, 2, FALSE),
    VLOOKUP(D303, 챕터!$B$4:$C$100, 2, FALSE)
  )
))</f>
        <v>2</v>
      </c>
      <c r="K303" s="57"/>
      <c r="L303"/>
      <c r="M303"/>
      <c r="N303" s="19"/>
      <c r="O303" s="1"/>
    </row>
    <row r="304" spans="2:15">
      <c r="B304" s="55">
        <v>300</v>
      </c>
      <c r="C304" t="s">
        <v>360</v>
      </c>
      <c r="D304" s="85" t="s">
        <v>23</v>
      </c>
      <c r="E304" s="59" t="s">
        <v>1</v>
      </c>
      <c r="F304" s="32">
        <v>4500</v>
      </c>
      <c r="G304" s="56">
        <v>1</v>
      </c>
      <c r="H304" s="32">
        <v>4500</v>
      </c>
      <c r="I304" s="58" t="str">
        <f t="shared" ca="1" si="4"/>
        <v>MV1_EV_27MY_KO</v>
      </c>
      <c r="J304" s="65" cm="1">
        <f t="array" ref="J304">IF(D304="","",IF(
  COUNTIF($D$5:$D$571, "Infotainment system") &gt; 0,
  VLOOKUP(D304, 챕터!$F$4:$G$100, 2, FALSE),
  IF(
    SUM(COUNTIF($D$5:$D$571, {"Hybrid system overview","Electric vehicle guide","Infotainment system"})) &gt; 0,
    VLOOKUP(D304, 챕터!$D$4:$E$100, 2, FALSE),
    VLOOKUP(D304, 챕터!$B$4:$C$100, 2, FALSE)
  )
))</f>
        <v>2</v>
      </c>
      <c r="K304" s="57"/>
      <c r="L304"/>
      <c r="M304"/>
      <c r="N304" s="19"/>
      <c r="O304" s="1"/>
    </row>
    <row r="305" spans="2:15">
      <c r="B305" s="55">
        <v>301</v>
      </c>
      <c r="C305" t="s">
        <v>361</v>
      </c>
      <c r="D305" s="85" t="s">
        <v>23</v>
      </c>
      <c r="E305" s="59" t="s">
        <v>1</v>
      </c>
      <c r="F305" s="32">
        <v>4500</v>
      </c>
      <c r="G305" s="56">
        <v>1</v>
      </c>
      <c r="H305" s="32">
        <v>4500</v>
      </c>
      <c r="I305" s="58" t="str">
        <f t="shared" ca="1" si="4"/>
        <v>MV1_EV_27MY_KO</v>
      </c>
      <c r="J305" s="65" cm="1">
        <f t="array" ref="J305">IF(D305="","",IF(
  COUNTIF($D$5:$D$571, "Infotainment system") &gt; 0,
  VLOOKUP(D305, 챕터!$F$4:$G$100, 2, FALSE),
  IF(
    SUM(COUNTIF($D$5:$D$571, {"Hybrid system overview","Electric vehicle guide","Infotainment system"})) &gt; 0,
    VLOOKUP(D305, 챕터!$D$4:$E$100, 2, FALSE),
    VLOOKUP(D305, 챕터!$B$4:$C$100, 2, FALSE)
  )
))</f>
        <v>2</v>
      </c>
      <c r="K305" s="57"/>
      <c r="L305"/>
      <c r="M305"/>
      <c r="N305" s="19"/>
      <c r="O305" s="1"/>
    </row>
    <row r="306" spans="2:15">
      <c r="B306" s="55">
        <v>302</v>
      </c>
      <c r="C306" t="s">
        <v>362</v>
      </c>
      <c r="D306" s="85" t="s">
        <v>23</v>
      </c>
      <c r="E306" s="59" t="s">
        <v>1</v>
      </c>
      <c r="F306" s="32">
        <v>4500</v>
      </c>
      <c r="G306" s="56">
        <v>1</v>
      </c>
      <c r="H306" s="32">
        <v>4500</v>
      </c>
      <c r="I306" s="58" t="str">
        <f t="shared" ca="1" si="4"/>
        <v>MV1_EV_27MY_KO</v>
      </c>
      <c r="J306" s="65" cm="1">
        <f t="array" ref="J306">IF(D306="","",IF(
  COUNTIF($D$5:$D$571, "Infotainment system") &gt; 0,
  VLOOKUP(D306, 챕터!$F$4:$G$100, 2, FALSE),
  IF(
    SUM(COUNTIF($D$5:$D$571, {"Hybrid system overview","Electric vehicle guide","Infotainment system"})) &gt; 0,
    VLOOKUP(D306, 챕터!$D$4:$E$100, 2, FALSE),
    VLOOKUP(D306, 챕터!$B$4:$C$100, 2, FALSE)
  )
))</f>
        <v>2</v>
      </c>
      <c r="K306" s="57"/>
      <c r="L306"/>
      <c r="M306"/>
      <c r="N306" s="19"/>
      <c r="O306" s="1"/>
    </row>
    <row r="307" spans="2:15">
      <c r="B307" s="55">
        <v>303</v>
      </c>
      <c r="C307" t="s">
        <v>363</v>
      </c>
      <c r="D307" s="85" t="s">
        <v>24</v>
      </c>
      <c r="E307" s="59" t="s">
        <v>1</v>
      </c>
      <c r="F307" s="32">
        <v>4500</v>
      </c>
      <c r="G307" s="56">
        <v>1</v>
      </c>
      <c r="H307" s="32">
        <v>4500</v>
      </c>
      <c r="I307" s="58" t="str">
        <f t="shared" ca="1" si="4"/>
        <v>MV1_EV_27MY_KO</v>
      </c>
      <c r="J307" s="65" cm="1">
        <f t="array" ref="J307">IF(D307="","",IF(
  COUNTIF($D$5:$D$571, "Infotainment system") &gt; 0,
  VLOOKUP(D307, 챕터!$F$4:$G$100, 2, FALSE),
  IF(
    SUM(COUNTIF($D$5:$D$571, {"Hybrid system overview","Electric vehicle guide","Infotainment system"})) &gt; 0,
    VLOOKUP(D307, 챕터!$D$4:$E$100, 2, FALSE),
    VLOOKUP(D307, 챕터!$B$4:$C$100, 2, FALSE)
  )
))</f>
        <v>3</v>
      </c>
      <c r="K307" s="57"/>
      <c r="L307"/>
      <c r="M307"/>
      <c r="N307" s="19"/>
      <c r="O307" s="1"/>
    </row>
    <row r="308" spans="2:15">
      <c r="B308" s="55">
        <v>304</v>
      </c>
      <c r="C308" t="s">
        <v>364</v>
      </c>
      <c r="D308" s="85" t="s">
        <v>24</v>
      </c>
      <c r="E308" s="59" t="s">
        <v>1</v>
      </c>
      <c r="F308" s="32">
        <v>4500</v>
      </c>
      <c r="G308" s="56">
        <v>1</v>
      </c>
      <c r="H308" s="32">
        <v>4500</v>
      </c>
      <c r="I308" s="58" t="str">
        <f t="shared" ca="1" si="4"/>
        <v>MV1_EV_27MY_KO</v>
      </c>
      <c r="J308" s="65" cm="1">
        <f t="array" ref="J308">IF(D308="","",IF(
  COUNTIF($D$5:$D$571, "Infotainment system") &gt; 0,
  VLOOKUP(D308, 챕터!$F$4:$G$100, 2, FALSE),
  IF(
    SUM(COUNTIF($D$5:$D$571, {"Hybrid system overview","Electric vehicle guide","Infotainment system"})) &gt; 0,
    VLOOKUP(D308, 챕터!$D$4:$E$100, 2, FALSE),
    VLOOKUP(D308, 챕터!$B$4:$C$100, 2, FALSE)
  )
))</f>
        <v>3</v>
      </c>
      <c r="K308" s="57"/>
      <c r="L308"/>
      <c r="M308"/>
      <c r="N308" s="19"/>
      <c r="O308" s="1"/>
    </row>
    <row r="309" spans="2:15">
      <c r="B309" s="55">
        <v>305</v>
      </c>
      <c r="C309" t="s">
        <v>365</v>
      </c>
      <c r="D309" s="85" t="s">
        <v>24</v>
      </c>
      <c r="E309" s="59" t="s">
        <v>1</v>
      </c>
      <c r="F309" s="32">
        <v>4500</v>
      </c>
      <c r="G309" s="56">
        <v>1</v>
      </c>
      <c r="H309" s="32">
        <v>4500</v>
      </c>
      <c r="I309" s="58" t="str">
        <f t="shared" ca="1" si="4"/>
        <v>MV1_EV_27MY_KO</v>
      </c>
      <c r="J309" s="65" cm="1">
        <f t="array" ref="J309">IF(D309="","",IF(
  COUNTIF($D$5:$D$571, "Infotainment system") &gt; 0,
  VLOOKUP(D309, 챕터!$F$4:$G$100, 2, FALSE),
  IF(
    SUM(COUNTIF($D$5:$D$571, {"Hybrid system overview","Electric vehicle guide","Infotainment system"})) &gt; 0,
    VLOOKUP(D309, 챕터!$D$4:$E$100, 2, FALSE),
    VLOOKUP(D309, 챕터!$B$4:$C$100, 2, FALSE)
  )
))</f>
        <v>3</v>
      </c>
      <c r="K309" s="57"/>
      <c r="L309"/>
      <c r="M309"/>
      <c r="N309" s="19"/>
      <c r="O309" s="1"/>
    </row>
    <row r="310" spans="2:15">
      <c r="B310" s="55">
        <v>306</v>
      </c>
      <c r="C310" t="s">
        <v>366</v>
      </c>
      <c r="D310" s="85" t="s">
        <v>24</v>
      </c>
      <c r="E310" s="59" t="s">
        <v>1</v>
      </c>
      <c r="F310" s="32">
        <v>4500</v>
      </c>
      <c r="G310" s="56">
        <v>1</v>
      </c>
      <c r="H310" s="32">
        <v>4500</v>
      </c>
      <c r="I310" s="58" t="str">
        <f t="shared" ca="1" si="4"/>
        <v>MV1_EV_27MY_KO</v>
      </c>
      <c r="J310" s="65" cm="1">
        <f t="array" ref="J310">IF(D310="","",IF(
  COUNTIF($D$5:$D$571, "Infotainment system") &gt; 0,
  VLOOKUP(D310, 챕터!$F$4:$G$100, 2, FALSE),
  IF(
    SUM(COUNTIF($D$5:$D$571, {"Hybrid system overview","Electric vehicle guide","Infotainment system"})) &gt; 0,
    VLOOKUP(D310, 챕터!$D$4:$E$100, 2, FALSE),
    VLOOKUP(D310, 챕터!$B$4:$C$100, 2, FALSE)
  )
))</f>
        <v>3</v>
      </c>
      <c r="K310" s="57"/>
      <c r="L310"/>
      <c r="M310"/>
      <c r="N310" s="19"/>
      <c r="O310" s="1"/>
    </row>
    <row r="311" spans="2:15">
      <c r="B311" s="55">
        <v>307</v>
      </c>
      <c r="C311" t="s">
        <v>367</v>
      </c>
      <c r="D311" s="85" t="s">
        <v>24</v>
      </c>
      <c r="E311" s="59" t="s">
        <v>1</v>
      </c>
      <c r="F311" s="32">
        <v>4500</v>
      </c>
      <c r="G311" s="56">
        <v>1</v>
      </c>
      <c r="H311" s="32">
        <v>4500</v>
      </c>
      <c r="I311" s="58" t="str">
        <f t="shared" ca="1" si="4"/>
        <v>MV1_EV_27MY_KO</v>
      </c>
      <c r="J311" s="65" cm="1">
        <f t="array" ref="J311">IF(D311="","",IF(
  COUNTIF($D$5:$D$571, "Infotainment system") &gt; 0,
  VLOOKUP(D311, 챕터!$F$4:$G$100, 2, FALSE),
  IF(
    SUM(COUNTIF($D$5:$D$571, {"Hybrid system overview","Electric vehicle guide","Infotainment system"})) &gt; 0,
    VLOOKUP(D311, 챕터!$D$4:$E$100, 2, FALSE),
    VLOOKUP(D311, 챕터!$B$4:$C$100, 2, FALSE)
  )
))</f>
        <v>3</v>
      </c>
      <c r="K311" s="57"/>
      <c r="L311"/>
      <c r="M311"/>
      <c r="N311" s="19"/>
      <c r="O311" s="1"/>
    </row>
    <row r="312" spans="2:15">
      <c r="B312" s="55">
        <v>308</v>
      </c>
      <c r="C312" t="s">
        <v>368</v>
      </c>
      <c r="D312" s="85" t="s">
        <v>24</v>
      </c>
      <c r="E312" s="59" t="s">
        <v>1</v>
      </c>
      <c r="F312" s="32">
        <v>4500</v>
      </c>
      <c r="G312" s="56">
        <v>1</v>
      </c>
      <c r="H312" s="32">
        <v>4500</v>
      </c>
      <c r="I312" s="58" t="str">
        <f t="shared" ca="1" si="4"/>
        <v>MV1_EV_27MY_KO</v>
      </c>
      <c r="J312" s="65" cm="1">
        <f t="array" ref="J312">IF(D312="","",IF(
  COUNTIF($D$5:$D$571, "Infotainment system") &gt; 0,
  VLOOKUP(D312, 챕터!$F$4:$G$100, 2, FALSE),
  IF(
    SUM(COUNTIF($D$5:$D$571, {"Hybrid system overview","Electric vehicle guide","Infotainment system"})) &gt; 0,
    VLOOKUP(D312, 챕터!$D$4:$E$100, 2, FALSE),
    VLOOKUP(D312, 챕터!$B$4:$C$100, 2, FALSE)
  )
))</f>
        <v>3</v>
      </c>
      <c r="K312" s="57"/>
      <c r="L312"/>
      <c r="M312"/>
      <c r="N312" s="19"/>
      <c r="O312" s="1"/>
    </row>
    <row r="313" spans="2:15">
      <c r="B313" s="55">
        <v>309</v>
      </c>
      <c r="C313" t="s">
        <v>369</v>
      </c>
      <c r="D313" s="85" t="s">
        <v>24</v>
      </c>
      <c r="E313" s="59" t="s">
        <v>1</v>
      </c>
      <c r="F313" s="32">
        <v>4500</v>
      </c>
      <c r="G313" s="56">
        <v>1</v>
      </c>
      <c r="H313" s="32">
        <v>4500</v>
      </c>
      <c r="I313" s="58" t="str">
        <f t="shared" ca="1" si="4"/>
        <v>MV1_EV_27MY_KO</v>
      </c>
      <c r="J313" s="65" cm="1">
        <f t="array" ref="J313">IF(D313="","",IF(
  COUNTIF($D$5:$D$571, "Infotainment system") &gt; 0,
  VLOOKUP(D313, 챕터!$F$4:$G$100, 2, FALSE),
  IF(
    SUM(COUNTIF($D$5:$D$571, {"Hybrid system overview","Electric vehicle guide","Infotainment system"})) &gt; 0,
    VLOOKUP(D313, 챕터!$D$4:$E$100, 2, FALSE),
    VLOOKUP(D313, 챕터!$B$4:$C$100, 2, FALSE)
  )
))</f>
        <v>3</v>
      </c>
      <c r="K313" s="57"/>
      <c r="L313"/>
      <c r="M313"/>
      <c r="N313" s="19"/>
      <c r="O313" s="1"/>
    </row>
    <row r="314" spans="2:15">
      <c r="B314" s="55">
        <v>310</v>
      </c>
      <c r="C314" t="s">
        <v>370</v>
      </c>
      <c r="D314" s="85" t="s">
        <v>24</v>
      </c>
      <c r="E314" s="59" t="s">
        <v>1</v>
      </c>
      <c r="F314" s="32">
        <v>4500</v>
      </c>
      <c r="G314" s="56">
        <v>1</v>
      </c>
      <c r="H314" s="32">
        <v>4500</v>
      </c>
      <c r="I314" s="58" t="str">
        <f t="shared" ca="1" si="4"/>
        <v>MV1_EV_27MY_KO</v>
      </c>
      <c r="J314" s="65" cm="1">
        <f t="array" ref="J314">IF(D314="","",IF(
  COUNTIF($D$5:$D$571, "Infotainment system") &gt; 0,
  VLOOKUP(D314, 챕터!$F$4:$G$100, 2, FALSE),
  IF(
    SUM(COUNTIF($D$5:$D$571, {"Hybrid system overview","Electric vehicle guide","Infotainment system"})) &gt; 0,
    VLOOKUP(D314, 챕터!$D$4:$E$100, 2, FALSE),
    VLOOKUP(D314, 챕터!$B$4:$C$100, 2, FALSE)
  )
))</f>
        <v>3</v>
      </c>
      <c r="K314" s="57"/>
      <c r="L314"/>
      <c r="M314"/>
      <c r="N314" s="19"/>
      <c r="O314" s="1"/>
    </row>
    <row r="315" spans="2:15">
      <c r="B315" s="55">
        <v>311</v>
      </c>
      <c r="C315" t="s">
        <v>371</v>
      </c>
      <c r="D315" s="85" t="s">
        <v>24</v>
      </c>
      <c r="E315" s="59" t="s">
        <v>1</v>
      </c>
      <c r="F315" s="32">
        <v>4500</v>
      </c>
      <c r="G315" s="56">
        <v>1</v>
      </c>
      <c r="H315" s="32">
        <v>4500</v>
      </c>
      <c r="I315" s="58" t="str">
        <f t="shared" ca="1" si="4"/>
        <v>MV1_EV_27MY_KO</v>
      </c>
      <c r="J315" s="65" cm="1">
        <f t="array" ref="J315">IF(D315="","",IF(
  COUNTIF($D$5:$D$571, "Infotainment system") &gt; 0,
  VLOOKUP(D315, 챕터!$F$4:$G$100, 2, FALSE),
  IF(
    SUM(COUNTIF($D$5:$D$571, {"Hybrid system overview","Electric vehicle guide","Infotainment system"})) &gt; 0,
    VLOOKUP(D315, 챕터!$D$4:$E$100, 2, FALSE),
    VLOOKUP(D315, 챕터!$B$4:$C$100, 2, FALSE)
  )
))</f>
        <v>3</v>
      </c>
      <c r="K315" s="57"/>
      <c r="L315"/>
      <c r="M315"/>
      <c r="N315" s="19"/>
      <c r="O315" s="1"/>
    </row>
    <row r="316" spans="2:15">
      <c r="B316" s="55">
        <v>312</v>
      </c>
      <c r="C316" t="s">
        <v>372</v>
      </c>
      <c r="D316" s="85" t="s">
        <v>24</v>
      </c>
      <c r="E316" s="59" t="s">
        <v>1</v>
      </c>
      <c r="F316" s="32">
        <v>4500</v>
      </c>
      <c r="G316" s="56">
        <v>1</v>
      </c>
      <c r="H316" s="32">
        <v>4500</v>
      </c>
      <c r="I316" s="58" t="str">
        <f t="shared" ca="1" si="4"/>
        <v>MV1_EV_27MY_KO</v>
      </c>
      <c r="J316" s="65" cm="1">
        <f t="array" ref="J316">IF(D316="","",IF(
  COUNTIF($D$5:$D$571, "Infotainment system") &gt; 0,
  VLOOKUP(D316, 챕터!$F$4:$G$100, 2, FALSE),
  IF(
    SUM(COUNTIF($D$5:$D$571, {"Hybrid system overview","Electric vehicle guide","Infotainment system"})) &gt; 0,
    VLOOKUP(D316, 챕터!$D$4:$E$100, 2, FALSE),
    VLOOKUP(D316, 챕터!$B$4:$C$100, 2, FALSE)
  )
))</f>
        <v>3</v>
      </c>
      <c r="K316" s="57"/>
      <c r="L316"/>
      <c r="M316"/>
      <c r="N316" s="19"/>
      <c r="O316" s="1"/>
    </row>
    <row r="317" spans="2:15">
      <c r="B317" s="55">
        <v>313</v>
      </c>
      <c r="C317" t="s">
        <v>373</v>
      </c>
      <c r="D317" s="85" t="s">
        <v>24</v>
      </c>
      <c r="E317" s="59" t="s">
        <v>1</v>
      </c>
      <c r="F317" s="32">
        <v>4500</v>
      </c>
      <c r="G317" s="56">
        <v>1</v>
      </c>
      <c r="H317" s="32">
        <v>4500</v>
      </c>
      <c r="I317" s="58" t="str">
        <f t="shared" ca="1" si="4"/>
        <v>MV1_EV_27MY_KO</v>
      </c>
      <c r="J317" s="65" cm="1">
        <f t="array" ref="J317">IF(D317="","",IF(
  COUNTIF($D$5:$D$571, "Infotainment system") &gt; 0,
  VLOOKUP(D317, 챕터!$F$4:$G$100, 2, FALSE),
  IF(
    SUM(COUNTIF($D$5:$D$571, {"Hybrid system overview","Electric vehicle guide","Infotainment system"})) &gt; 0,
    VLOOKUP(D317, 챕터!$D$4:$E$100, 2, FALSE),
    VLOOKUP(D317, 챕터!$B$4:$C$100, 2, FALSE)
  )
))</f>
        <v>3</v>
      </c>
      <c r="K317" s="57"/>
      <c r="L317"/>
      <c r="M317"/>
      <c r="N317" s="19"/>
      <c r="O317" s="1"/>
    </row>
    <row r="318" spans="2:15">
      <c r="B318" s="55">
        <v>314</v>
      </c>
      <c r="C318" t="s">
        <v>374</v>
      </c>
      <c r="D318" s="85" t="s">
        <v>24</v>
      </c>
      <c r="E318" s="59" t="s">
        <v>1</v>
      </c>
      <c r="F318" s="32">
        <v>4500</v>
      </c>
      <c r="G318" s="56">
        <v>1</v>
      </c>
      <c r="H318" s="32">
        <v>4500</v>
      </c>
      <c r="I318" s="58" t="str">
        <f t="shared" ca="1" si="4"/>
        <v>MV1_EV_27MY_KO</v>
      </c>
      <c r="J318" s="65" cm="1">
        <f t="array" ref="J318">IF(D318="","",IF(
  COUNTIF($D$5:$D$571, "Infotainment system") &gt; 0,
  VLOOKUP(D318, 챕터!$F$4:$G$100, 2, FALSE),
  IF(
    SUM(COUNTIF($D$5:$D$571, {"Hybrid system overview","Electric vehicle guide","Infotainment system"})) &gt; 0,
    VLOOKUP(D318, 챕터!$D$4:$E$100, 2, FALSE),
    VLOOKUP(D318, 챕터!$B$4:$C$100, 2, FALSE)
  )
))</f>
        <v>3</v>
      </c>
      <c r="K318" s="57"/>
      <c r="L318"/>
      <c r="M318"/>
      <c r="N318" s="19"/>
      <c r="O318" s="1"/>
    </row>
    <row r="319" spans="2:15">
      <c r="B319" s="55">
        <v>315</v>
      </c>
      <c r="C319" t="s">
        <v>375</v>
      </c>
      <c r="D319" s="85" t="s">
        <v>24</v>
      </c>
      <c r="E319" s="59" t="s">
        <v>1</v>
      </c>
      <c r="F319" s="32">
        <v>4500</v>
      </c>
      <c r="G319" s="56">
        <v>1</v>
      </c>
      <c r="H319" s="32">
        <v>4500</v>
      </c>
      <c r="I319" s="58" t="str">
        <f t="shared" ca="1" si="4"/>
        <v>MV1_EV_27MY_KO</v>
      </c>
      <c r="J319" s="65" cm="1">
        <f t="array" ref="J319">IF(D319="","",IF(
  COUNTIF($D$5:$D$571, "Infotainment system") &gt; 0,
  VLOOKUP(D319, 챕터!$F$4:$G$100, 2, FALSE),
  IF(
    SUM(COUNTIF($D$5:$D$571, {"Hybrid system overview","Electric vehicle guide","Infotainment system"})) &gt; 0,
    VLOOKUP(D319, 챕터!$D$4:$E$100, 2, FALSE),
    VLOOKUP(D319, 챕터!$B$4:$C$100, 2, FALSE)
  )
))</f>
        <v>3</v>
      </c>
      <c r="K319" s="57"/>
      <c r="L319"/>
      <c r="M319"/>
      <c r="N319" s="19"/>
      <c r="O319" s="1"/>
    </row>
    <row r="320" spans="2:15">
      <c r="B320" s="55">
        <v>316</v>
      </c>
      <c r="C320" t="s">
        <v>376</v>
      </c>
      <c r="D320" s="85" t="s">
        <v>24</v>
      </c>
      <c r="E320" s="59" t="s">
        <v>1</v>
      </c>
      <c r="F320" s="32">
        <v>4500</v>
      </c>
      <c r="G320" s="56">
        <v>1</v>
      </c>
      <c r="H320" s="32">
        <v>4500</v>
      </c>
      <c r="I320" s="58" t="str">
        <f t="shared" ca="1" si="4"/>
        <v>MV1_EV_27MY_KO</v>
      </c>
      <c r="J320" s="65" cm="1">
        <f t="array" ref="J320">IF(D320="","",IF(
  COUNTIF($D$5:$D$571, "Infotainment system") &gt; 0,
  VLOOKUP(D320, 챕터!$F$4:$G$100, 2, FALSE),
  IF(
    SUM(COUNTIF($D$5:$D$571, {"Hybrid system overview","Electric vehicle guide","Infotainment system"})) &gt; 0,
    VLOOKUP(D320, 챕터!$D$4:$E$100, 2, FALSE),
    VLOOKUP(D320, 챕터!$B$4:$C$100, 2, FALSE)
  )
))</f>
        <v>3</v>
      </c>
      <c r="K320" s="57"/>
      <c r="L320"/>
      <c r="M320"/>
      <c r="N320" s="19"/>
      <c r="O320" s="1"/>
    </row>
    <row r="321" spans="2:15">
      <c r="B321" s="55">
        <v>317</v>
      </c>
      <c r="C321" t="s">
        <v>377</v>
      </c>
      <c r="D321" s="85" t="s">
        <v>24</v>
      </c>
      <c r="E321" s="59" t="s">
        <v>1</v>
      </c>
      <c r="F321" s="32">
        <v>4500</v>
      </c>
      <c r="G321" s="56">
        <v>1</v>
      </c>
      <c r="H321" s="32">
        <v>4500</v>
      </c>
      <c r="I321" s="58" t="str">
        <f t="shared" ca="1" si="4"/>
        <v>MV1_EV_27MY_KO</v>
      </c>
      <c r="J321" s="65" cm="1">
        <f t="array" ref="J321">IF(D321="","",IF(
  COUNTIF($D$5:$D$571, "Infotainment system") &gt; 0,
  VLOOKUP(D321, 챕터!$F$4:$G$100, 2, FALSE),
  IF(
    SUM(COUNTIF($D$5:$D$571, {"Hybrid system overview","Electric vehicle guide","Infotainment system"})) &gt; 0,
    VLOOKUP(D321, 챕터!$D$4:$E$100, 2, FALSE),
    VLOOKUP(D321, 챕터!$B$4:$C$100, 2, FALSE)
  )
))</f>
        <v>3</v>
      </c>
      <c r="K321" s="57"/>
      <c r="L321"/>
      <c r="M321"/>
      <c r="N321" s="19"/>
      <c r="O321" s="1"/>
    </row>
    <row r="322" spans="2:15">
      <c r="B322" s="55">
        <v>318</v>
      </c>
      <c r="C322" t="s">
        <v>378</v>
      </c>
      <c r="D322" s="85" t="s">
        <v>24</v>
      </c>
      <c r="E322" s="59" t="s">
        <v>1</v>
      </c>
      <c r="F322" s="32">
        <v>4500</v>
      </c>
      <c r="G322" s="56">
        <v>1</v>
      </c>
      <c r="H322" s="32">
        <v>4500</v>
      </c>
      <c r="I322" s="58" t="str">
        <f t="shared" ca="1" si="4"/>
        <v>MV1_EV_27MY_KO</v>
      </c>
      <c r="J322" s="65" cm="1">
        <f t="array" ref="J322">IF(D322="","",IF(
  COUNTIF($D$5:$D$571, "Infotainment system") &gt; 0,
  VLOOKUP(D322, 챕터!$F$4:$G$100, 2, FALSE),
  IF(
    SUM(COUNTIF($D$5:$D$571, {"Hybrid system overview","Electric vehicle guide","Infotainment system"})) &gt; 0,
    VLOOKUP(D322, 챕터!$D$4:$E$100, 2, FALSE),
    VLOOKUP(D322, 챕터!$B$4:$C$100, 2, FALSE)
  )
))</f>
        <v>3</v>
      </c>
      <c r="K322" s="57"/>
      <c r="L322"/>
      <c r="M322"/>
      <c r="N322" s="19"/>
      <c r="O322" s="1"/>
    </row>
    <row r="323" spans="2:15">
      <c r="B323" s="55">
        <v>319</v>
      </c>
      <c r="C323" t="s">
        <v>379</v>
      </c>
      <c r="D323" s="85" t="s">
        <v>24</v>
      </c>
      <c r="E323" s="59" t="s">
        <v>1</v>
      </c>
      <c r="F323" s="32">
        <v>4500</v>
      </c>
      <c r="G323" s="56">
        <v>1</v>
      </c>
      <c r="H323" s="32">
        <v>4500</v>
      </c>
      <c r="I323" s="58" t="str">
        <f t="shared" ca="1" si="4"/>
        <v>MV1_EV_27MY_KO</v>
      </c>
      <c r="J323" s="65" cm="1">
        <f t="array" ref="J323">IF(D323="","",IF(
  COUNTIF($D$5:$D$571, "Infotainment system") &gt; 0,
  VLOOKUP(D323, 챕터!$F$4:$G$100, 2, FALSE),
  IF(
    SUM(COUNTIF($D$5:$D$571, {"Hybrid system overview","Electric vehicle guide","Infotainment system"})) &gt; 0,
    VLOOKUP(D323, 챕터!$D$4:$E$100, 2, FALSE),
    VLOOKUP(D323, 챕터!$B$4:$C$100, 2, FALSE)
  )
))</f>
        <v>3</v>
      </c>
      <c r="K323" s="57"/>
      <c r="L323"/>
      <c r="M323"/>
      <c r="N323" s="19"/>
      <c r="O323" s="1"/>
    </row>
    <row r="324" spans="2:15">
      <c r="B324" s="55">
        <v>320</v>
      </c>
      <c r="C324" t="s">
        <v>380</v>
      </c>
      <c r="D324" s="85" t="s">
        <v>24</v>
      </c>
      <c r="E324" s="59" t="s">
        <v>1</v>
      </c>
      <c r="F324" s="32">
        <v>4500</v>
      </c>
      <c r="G324" s="56">
        <v>1</v>
      </c>
      <c r="H324" s="32">
        <v>4500</v>
      </c>
      <c r="I324" s="58" t="str">
        <f t="shared" ca="1" si="4"/>
        <v>MV1_EV_27MY_KO</v>
      </c>
      <c r="J324" s="65" cm="1">
        <f t="array" ref="J324">IF(D324="","",IF(
  COUNTIF($D$5:$D$571, "Infotainment system") &gt; 0,
  VLOOKUP(D324, 챕터!$F$4:$G$100, 2, FALSE),
  IF(
    SUM(COUNTIF($D$5:$D$571, {"Hybrid system overview","Electric vehicle guide","Infotainment system"})) &gt; 0,
    VLOOKUP(D324, 챕터!$D$4:$E$100, 2, FALSE),
    VLOOKUP(D324, 챕터!$B$4:$C$100, 2, FALSE)
  )
))</f>
        <v>3</v>
      </c>
      <c r="K324" s="57"/>
      <c r="L324"/>
      <c r="M324"/>
      <c r="N324" s="19"/>
      <c r="O324" s="1"/>
    </row>
    <row r="325" spans="2:15">
      <c r="B325" s="55">
        <v>321</v>
      </c>
      <c r="C325" t="s">
        <v>381</v>
      </c>
      <c r="D325" s="85" t="s">
        <v>24</v>
      </c>
      <c r="E325" s="59" t="s">
        <v>1</v>
      </c>
      <c r="F325" s="32">
        <v>4500</v>
      </c>
      <c r="G325" s="56">
        <v>1</v>
      </c>
      <c r="H325" s="32">
        <v>4500</v>
      </c>
      <c r="I325" s="58" t="str">
        <f t="shared" ca="1" si="4"/>
        <v>MV1_EV_27MY_KO</v>
      </c>
      <c r="J325" s="65" cm="1">
        <f t="array" ref="J325">IF(D325="","",IF(
  COUNTIF($D$5:$D$571, "Infotainment system") &gt; 0,
  VLOOKUP(D325, 챕터!$F$4:$G$100, 2, FALSE),
  IF(
    SUM(COUNTIF($D$5:$D$571, {"Hybrid system overview","Electric vehicle guide","Infotainment system"})) &gt; 0,
    VLOOKUP(D325, 챕터!$D$4:$E$100, 2, FALSE),
    VLOOKUP(D325, 챕터!$B$4:$C$100, 2, FALSE)
  )
))</f>
        <v>3</v>
      </c>
      <c r="K325" s="57"/>
      <c r="L325"/>
      <c r="M325"/>
      <c r="N325" s="19"/>
      <c r="O325" s="1"/>
    </row>
    <row r="326" spans="2:15">
      <c r="B326" s="55">
        <v>322</v>
      </c>
      <c r="C326" t="s">
        <v>382</v>
      </c>
      <c r="D326" s="85" t="s">
        <v>24</v>
      </c>
      <c r="E326" s="59" t="s">
        <v>1</v>
      </c>
      <c r="F326" s="32">
        <v>4500</v>
      </c>
      <c r="G326" s="56">
        <v>1</v>
      </c>
      <c r="H326" s="32">
        <v>4500</v>
      </c>
      <c r="I326" s="58" t="str">
        <f t="shared" ca="1" si="4"/>
        <v>MV1_EV_27MY_KO</v>
      </c>
      <c r="J326" s="65" cm="1">
        <f t="array" ref="J326">IF(D326="","",IF(
  COUNTIF($D$5:$D$571, "Infotainment system") &gt; 0,
  VLOOKUP(D326, 챕터!$F$4:$G$100, 2, FALSE),
  IF(
    SUM(COUNTIF($D$5:$D$571, {"Hybrid system overview","Electric vehicle guide","Infotainment system"})) &gt; 0,
    VLOOKUP(D326, 챕터!$D$4:$E$100, 2, FALSE),
    VLOOKUP(D326, 챕터!$B$4:$C$100, 2, FALSE)
  )
))</f>
        <v>3</v>
      </c>
      <c r="K326" s="57"/>
      <c r="L326"/>
      <c r="M326"/>
      <c r="N326" s="19"/>
      <c r="O326" s="1"/>
    </row>
    <row r="327" spans="2:15">
      <c r="B327" s="55">
        <v>323</v>
      </c>
      <c r="C327" t="s">
        <v>383</v>
      </c>
      <c r="D327" s="85" t="s">
        <v>24</v>
      </c>
      <c r="E327" s="59" t="s">
        <v>1</v>
      </c>
      <c r="F327" s="32">
        <v>4500</v>
      </c>
      <c r="G327" s="56">
        <v>1</v>
      </c>
      <c r="H327" s="32">
        <v>4500</v>
      </c>
      <c r="I327" s="58" t="str">
        <f t="shared" ref="I327:I390" ca="1" si="5">IF(D327="","",$I$5)</f>
        <v>MV1_EV_27MY_KO</v>
      </c>
      <c r="J327" s="65" cm="1">
        <f t="array" ref="J327">IF(D327="","",IF(
  COUNTIF($D$5:$D$571, "Infotainment system") &gt; 0,
  VLOOKUP(D327, 챕터!$F$4:$G$100, 2, FALSE),
  IF(
    SUM(COUNTIF($D$5:$D$571, {"Hybrid system overview","Electric vehicle guide","Infotainment system"})) &gt; 0,
    VLOOKUP(D327, 챕터!$D$4:$E$100, 2, FALSE),
    VLOOKUP(D327, 챕터!$B$4:$C$100, 2, FALSE)
  )
))</f>
        <v>3</v>
      </c>
      <c r="K327" s="57"/>
      <c r="L327"/>
      <c r="M327"/>
      <c r="N327" s="19"/>
      <c r="O327" s="1"/>
    </row>
    <row r="328" spans="2:15">
      <c r="B328" s="55">
        <v>324</v>
      </c>
      <c r="C328" t="s">
        <v>384</v>
      </c>
      <c r="D328" s="85" t="s">
        <v>24</v>
      </c>
      <c r="E328" s="59" t="s">
        <v>1</v>
      </c>
      <c r="F328" s="32">
        <v>4500</v>
      </c>
      <c r="G328" s="56">
        <v>1</v>
      </c>
      <c r="H328" s="32">
        <v>4500</v>
      </c>
      <c r="I328" s="58" t="str">
        <f t="shared" ca="1" si="5"/>
        <v>MV1_EV_27MY_KO</v>
      </c>
      <c r="J328" s="65" cm="1">
        <f t="array" ref="J328">IF(D328="","",IF(
  COUNTIF($D$5:$D$571, "Infotainment system") &gt; 0,
  VLOOKUP(D328, 챕터!$F$4:$G$100, 2, FALSE),
  IF(
    SUM(COUNTIF($D$5:$D$571, {"Hybrid system overview","Electric vehicle guide","Infotainment system"})) &gt; 0,
    VLOOKUP(D328, 챕터!$D$4:$E$100, 2, FALSE),
    VLOOKUP(D328, 챕터!$B$4:$C$100, 2, FALSE)
  )
))</f>
        <v>3</v>
      </c>
      <c r="K328" s="57"/>
      <c r="L328"/>
      <c r="M328"/>
      <c r="N328" s="19"/>
      <c r="O328" s="1"/>
    </row>
    <row r="329" spans="2:15">
      <c r="B329" s="55">
        <v>325</v>
      </c>
      <c r="C329" t="s">
        <v>385</v>
      </c>
      <c r="D329" s="85" t="s">
        <v>24</v>
      </c>
      <c r="E329" s="59" t="s">
        <v>1</v>
      </c>
      <c r="F329" s="32">
        <v>4500</v>
      </c>
      <c r="G329" s="56">
        <v>1</v>
      </c>
      <c r="H329" s="32">
        <v>4500</v>
      </c>
      <c r="I329" s="58" t="str">
        <f t="shared" ca="1" si="5"/>
        <v>MV1_EV_27MY_KO</v>
      </c>
      <c r="J329" s="65" cm="1">
        <f t="array" ref="J329">IF(D329="","",IF(
  COUNTIF($D$5:$D$571, "Infotainment system") &gt; 0,
  VLOOKUP(D329, 챕터!$F$4:$G$100, 2, FALSE),
  IF(
    SUM(COUNTIF($D$5:$D$571, {"Hybrid system overview","Electric vehicle guide","Infotainment system"})) &gt; 0,
    VLOOKUP(D329, 챕터!$D$4:$E$100, 2, FALSE),
    VLOOKUP(D329, 챕터!$B$4:$C$100, 2, FALSE)
  )
))</f>
        <v>3</v>
      </c>
      <c r="K329" s="57"/>
      <c r="L329"/>
      <c r="M329"/>
      <c r="N329" s="19"/>
      <c r="O329" s="1"/>
    </row>
    <row r="330" spans="2:15">
      <c r="B330" s="55">
        <v>326</v>
      </c>
      <c r="C330" t="s">
        <v>386</v>
      </c>
      <c r="D330" s="85" t="s">
        <v>24</v>
      </c>
      <c r="E330" s="59" t="s">
        <v>1</v>
      </c>
      <c r="F330" s="32">
        <v>4500</v>
      </c>
      <c r="G330" s="56">
        <v>1</v>
      </c>
      <c r="H330" s="32">
        <v>4500</v>
      </c>
      <c r="I330" s="58" t="str">
        <f t="shared" ca="1" si="5"/>
        <v>MV1_EV_27MY_KO</v>
      </c>
      <c r="J330" s="65" cm="1">
        <f t="array" ref="J330">IF(D330="","",IF(
  COUNTIF($D$5:$D$571, "Infotainment system") &gt; 0,
  VLOOKUP(D330, 챕터!$F$4:$G$100, 2, FALSE),
  IF(
    SUM(COUNTIF($D$5:$D$571, {"Hybrid system overview","Electric vehicle guide","Infotainment system"})) &gt; 0,
    VLOOKUP(D330, 챕터!$D$4:$E$100, 2, FALSE),
    VLOOKUP(D330, 챕터!$B$4:$C$100, 2, FALSE)
  )
))</f>
        <v>3</v>
      </c>
      <c r="K330" s="57"/>
      <c r="L330"/>
      <c r="M330"/>
      <c r="N330" s="19"/>
      <c r="O330" s="1"/>
    </row>
    <row r="331" spans="2:15">
      <c r="B331" s="55">
        <v>327</v>
      </c>
      <c r="C331" t="s">
        <v>387</v>
      </c>
      <c r="D331" s="85" t="s">
        <v>24</v>
      </c>
      <c r="E331" s="59" t="s">
        <v>1</v>
      </c>
      <c r="F331" s="32">
        <v>4500</v>
      </c>
      <c r="G331" s="56">
        <v>1</v>
      </c>
      <c r="H331" s="32">
        <v>4500</v>
      </c>
      <c r="I331" s="58" t="str">
        <f t="shared" ca="1" si="5"/>
        <v>MV1_EV_27MY_KO</v>
      </c>
      <c r="J331" s="65" cm="1">
        <f t="array" ref="J331">IF(D331="","",IF(
  COUNTIF($D$5:$D$571, "Infotainment system") &gt; 0,
  VLOOKUP(D331, 챕터!$F$4:$G$100, 2, FALSE),
  IF(
    SUM(COUNTIF($D$5:$D$571, {"Hybrid system overview","Electric vehicle guide","Infotainment system"})) &gt; 0,
    VLOOKUP(D331, 챕터!$D$4:$E$100, 2, FALSE),
    VLOOKUP(D331, 챕터!$B$4:$C$100, 2, FALSE)
  )
))</f>
        <v>3</v>
      </c>
      <c r="K331" s="57"/>
      <c r="L331"/>
      <c r="M331"/>
      <c r="N331" s="19"/>
      <c r="O331" s="1"/>
    </row>
    <row r="332" spans="2:15">
      <c r="B332" s="55">
        <v>328</v>
      </c>
      <c r="C332" t="s">
        <v>388</v>
      </c>
      <c r="D332" s="85" t="s">
        <v>24</v>
      </c>
      <c r="E332" s="59" t="s">
        <v>1</v>
      </c>
      <c r="F332" s="32">
        <v>4500</v>
      </c>
      <c r="G332" s="56">
        <v>1</v>
      </c>
      <c r="H332" s="32">
        <v>4500</v>
      </c>
      <c r="I332" s="58" t="str">
        <f t="shared" ca="1" si="5"/>
        <v>MV1_EV_27MY_KO</v>
      </c>
      <c r="J332" s="65" cm="1">
        <f t="array" ref="J332">IF(D332="","",IF(
  COUNTIF($D$5:$D$571, "Infotainment system") &gt; 0,
  VLOOKUP(D332, 챕터!$F$4:$G$100, 2, FALSE),
  IF(
    SUM(COUNTIF($D$5:$D$571, {"Hybrid system overview","Electric vehicle guide","Infotainment system"})) &gt; 0,
    VLOOKUP(D332, 챕터!$D$4:$E$100, 2, FALSE),
    VLOOKUP(D332, 챕터!$B$4:$C$100, 2, FALSE)
  )
))</f>
        <v>3</v>
      </c>
      <c r="K332" s="57"/>
      <c r="L332"/>
      <c r="M332"/>
      <c r="N332" s="19"/>
      <c r="O332" s="1"/>
    </row>
    <row r="333" spans="2:15">
      <c r="B333" s="55">
        <v>329</v>
      </c>
      <c r="C333" t="s">
        <v>389</v>
      </c>
      <c r="D333" s="85" t="s">
        <v>24</v>
      </c>
      <c r="E333" s="59" t="s">
        <v>1</v>
      </c>
      <c r="F333" s="32">
        <v>4500</v>
      </c>
      <c r="G333" s="56">
        <v>1</v>
      </c>
      <c r="H333" s="32">
        <v>4500</v>
      </c>
      <c r="I333" s="58" t="str">
        <f t="shared" ca="1" si="5"/>
        <v>MV1_EV_27MY_KO</v>
      </c>
      <c r="J333" s="65" cm="1">
        <f t="array" ref="J333">IF(D333="","",IF(
  COUNTIF($D$5:$D$571, "Infotainment system") &gt; 0,
  VLOOKUP(D333, 챕터!$F$4:$G$100, 2, FALSE),
  IF(
    SUM(COUNTIF($D$5:$D$571, {"Hybrid system overview","Electric vehicle guide","Infotainment system"})) &gt; 0,
    VLOOKUP(D333, 챕터!$D$4:$E$100, 2, FALSE),
    VLOOKUP(D333, 챕터!$B$4:$C$100, 2, FALSE)
  )
))</f>
        <v>3</v>
      </c>
      <c r="K333" s="57"/>
      <c r="L333"/>
      <c r="M333"/>
      <c r="N333" s="19"/>
      <c r="O333" s="1"/>
    </row>
    <row r="334" spans="2:15">
      <c r="B334" s="55">
        <v>330</v>
      </c>
      <c r="C334" t="s">
        <v>390</v>
      </c>
      <c r="D334" s="85" t="s">
        <v>24</v>
      </c>
      <c r="E334" s="59" t="s">
        <v>1</v>
      </c>
      <c r="F334" s="32">
        <v>4500</v>
      </c>
      <c r="G334" s="56">
        <v>1</v>
      </c>
      <c r="H334" s="32">
        <v>4500</v>
      </c>
      <c r="I334" s="58" t="str">
        <f t="shared" ca="1" si="5"/>
        <v>MV1_EV_27MY_KO</v>
      </c>
      <c r="J334" s="65" cm="1">
        <f t="array" ref="J334">IF(D334="","",IF(
  COUNTIF($D$5:$D$571, "Infotainment system") &gt; 0,
  VLOOKUP(D334, 챕터!$F$4:$G$100, 2, FALSE),
  IF(
    SUM(COUNTIF($D$5:$D$571, {"Hybrid system overview","Electric vehicle guide","Infotainment system"})) &gt; 0,
    VLOOKUP(D334, 챕터!$D$4:$E$100, 2, FALSE),
    VLOOKUP(D334, 챕터!$B$4:$C$100, 2, FALSE)
  )
))</f>
        <v>3</v>
      </c>
      <c r="K334" s="57"/>
      <c r="L334"/>
      <c r="M334"/>
      <c r="N334" s="19"/>
      <c r="O334" s="1"/>
    </row>
    <row r="335" spans="2:15">
      <c r="B335" s="55">
        <v>331</v>
      </c>
      <c r="C335" t="s">
        <v>391</v>
      </c>
      <c r="D335" s="85" t="s">
        <v>24</v>
      </c>
      <c r="E335" s="59" t="s">
        <v>1</v>
      </c>
      <c r="F335" s="32">
        <v>4500</v>
      </c>
      <c r="G335" s="56">
        <v>1</v>
      </c>
      <c r="H335" s="32">
        <v>4500</v>
      </c>
      <c r="I335" s="58" t="str">
        <f t="shared" ca="1" si="5"/>
        <v>MV1_EV_27MY_KO</v>
      </c>
      <c r="J335" s="65" cm="1">
        <f t="array" ref="J335">IF(D335="","",IF(
  COUNTIF($D$5:$D$571, "Infotainment system") &gt; 0,
  VLOOKUP(D335, 챕터!$F$4:$G$100, 2, FALSE),
  IF(
    SUM(COUNTIF($D$5:$D$571, {"Hybrid system overview","Electric vehicle guide","Infotainment system"})) &gt; 0,
    VLOOKUP(D335, 챕터!$D$4:$E$100, 2, FALSE),
    VLOOKUP(D335, 챕터!$B$4:$C$100, 2, FALSE)
  )
))</f>
        <v>3</v>
      </c>
      <c r="K335" s="57"/>
      <c r="L335"/>
      <c r="M335"/>
      <c r="N335" s="19"/>
      <c r="O335" s="1"/>
    </row>
    <row r="336" spans="2:15">
      <c r="B336" s="55">
        <v>332</v>
      </c>
      <c r="C336" t="s">
        <v>392</v>
      </c>
      <c r="D336" s="85" t="s">
        <v>24</v>
      </c>
      <c r="E336" s="59" t="s">
        <v>1</v>
      </c>
      <c r="F336" s="32">
        <v>4500</v>
      </c>
      <c r="G336" s="56">
        <v>1</v>
      </c>
      <c r="H336" s="32">
        <v>4500</v>
      </c>
      <c r="I336" s="58" t="str">
        <f t="shared" ca="1" si="5"/>
        <v>MV1_EV_27MY_KO</v>
      </c>
      <c r="J336" s="65" cm="1">
        <f t="array" ref="J336">IF(D336="","",IF(
  COUNTIF($D$5:$D$571, "Infotainment system") &gt; 0,
  VLOOKUP(D336, 챕터!$F$4:$G$100, 2, FALSE),
  IF(
    SUM(COUNTIF($D$5:$D$571, {"Hybrid system overview","Electric vehicle guide","Infotainment system"})) &gt; 0,
    VLOOKUP(D336, 챕터!$D$4:$E$100, 2, FALSE),
    VLOOKUP(D336, 챕터!$B$4:$C$100, 2, FALSE)
  )
))</f>
        <v>3</v>
      </c>
      <c r="K336" s="57"/>
      <c r="L336"/>
      <c r="M336"/>
      <c r="N336" s="19"/>
      <c r="O336" s="1"/>
    </row>
    <row r="337" spans="2:15">
      <c r="B337" s="55">
        <v>333</v>
      </c>
      <c r="C337" t="s">
        <v>393</v>
      </c>
      <c r="D337" s="85" t="s">
        <v>24</v>
      </c>
      <c r="E337" s="59" t="s">
        <v>1</v>
      </c>
      <c r="F337" s="32">
        <v>4500</v>
      </c>
      <c r="G337" s="56">
        <v>1</v>
      </c>
      <c r="H337" s="32">
        <v>4500</v>
      </c>
      <c r="I337" s="58" t="str">
        <f t="shared" ca="1" si="5"/>
        <v>MV1_EV_27MY_KO</v>
      </c>
      <c r="J337" s="65" cm="1">
        <f t="array" ref="J337">IF(D337="","",IF(
  COUNTIF($D$5:$D$571, "Infotainment system") &gt; 0,
  VLOOKUP(D337, 챕터!$F$4:$G$100, 2, FALSE),
  IF(
    SUM(COUNTIF($D$5:$D$571, {"Hybrid system overview","Electric vehicle guide","Infotainment system"})) &gt; 0,
    VLOOKUP(D337, 챕터!$D$4:$E$100, 2, FALSE),
    VLOOKUP(D337, 챕터!$B$4:$C$100, 2, FALSE)
  )
))</f>
        <v>3</v>
      </c>
      <c r="K337" s="57"/>
      <c r="L337"/>
      <c r="M337"/>
      <c r="N337" s="19"/>
      <c r="O337" s="1"/>
    </row>
    <row r="338" spans="2:15">
      <c r="B338" s="55">
        <v>334</v>
      </c>
      <c r="C338" t="s">
        <v>394</v>
      </c>
      <c r="D338" s="85" t="s">
        <v>24</v>
      </c>
      <c r="E338" s="59" t="s">
        <v>1</v>
      </c>
      <c r="F338" s="32">
        <v>4500</v>
      </c>
      <c r="G338" s="56">
        <v>1</v>
      </c>
      <c r="H338" s="32">
        <v>4500</v>
      </c>
      <c r="I338" s="58" t="str">
        <f t="shared" ca="1" si="5"/>
        <v>MV1_EV_27MY_KO</v>
      </c>
      <c r="J338" s="65" cm="1">
        <f t="array" ref="J338">IF(D338="","",IF(
  COUNTIF($D$5:$D$571, "Infotainment system") &gt; 0,
  VLOOKUP(D338, 챕터!$F$4:$G$100, 2, FALSE),
  IF(
    SUM(COUNTIF($D$5:$D$571, {"Hybrid system overview","Electric vehicle guide","Infotainment system"})) &gt; 0,
    VLOOKUP(D338, 챕터!$D$4:$E$100, 2, FALSE),
    VLOOKUP(D338, 챕터!$B$4:$C$100, 2, FALSE)
  )
))</f>
        <v>3</v>
      </c>
      <c r="K338" s="57"/>
      <c r="L338"/>
      <c r="M338"/>
      <c r="N338" s="19"/>
      <c r="O338" s="1"/>
    </row>
    <row r="339" spans="2:15">
      <c r="B339" s="55">
        <v>335</v>
      </c>
      <c r="C339" t="s">
        <v>395</v>
      </c>
      <c r="D339" s="85" t="s">
        <v>24</v>
      </c>
      <c r="E339" s="59" t="s">
        <v>1</v>
      </c>
      <c r="F339" s="32">
        <v>4500</v>
      </c>
      <c r="G339" s="56">
        <v>1</v>
      </c>
      <c r="H339" s="32">
        <v>4500</v>
      </c>
      <c r="I339" s="58" t="str">
        <f t="shared" ca="1" si="5"/>
        <v>MV1_EV_27MY_KO</v>
      </c>
      <c r="J339" s="65" cm="1">
        <f t="array" ref="J339">IF(D339="","",IF(
  COUNTIF($D$5:$D$571, "Infotainment system") &gt; 0,
  VLOOKUP(D339, 챕터!$F$4:$G$100, 2, FALSE),
  IF(
    SUM(COUNTIF($D$5:$D$571, {"Hybrid system overview","Electric vehicle guide","Infotainment system"})) &gt; 0,
    VLOOKUP(D339, 챕터!$D$4:$E$100, 2, FALSE),
    VLOOKUP(D339, 챕터!$B$4:$C$100, 2, FALSE)
  )
))</f>
        <v>3</v>
      </c>
      <c r="K339" s="57"/>
      <c r="L339"/>
      <c r="M339"/>
      <c r="N339" s="19"/>
      <c r="O339" s="1"/>
    </row>
    <row r="340" spans="2:15">
      <c r="B340" s="55">
        <v>336</v>
      </c>
      <c r="C340" t="s">
        <v>396</v>
      </c>
      <c r="D340" s="85" t="s">
        <v>24</v>
      </c>
      <c r="E340" s="59" t="s">
        <v>1</v>
      </c>
      <c r="F340" s="32">
        <v>4500</v>
      </c>
      <c r="G340" s="56">
        <v>1</v>
      </c>
      <c r="H340" s="32">
        <v>4500</v>
      </c>
      <c r="I340" s="58" t="str">
        <f t="shared" ca="1" si="5"/>
        <v>MV1_EV_27MY_KO</v>
      </c>
      <c r="J340" s="65" cm="1">
        <f t="array" ref="J340">IF(D340="","",IF(
  COUNTIF($D$5:$D$571, "Infotainment system") &gt; 0,
  VLOOKUP(D340, 챕터!$F$4:$G$100, 2, FALSE),
  IF(
    SUM(COUNTIF($D$5:$D$571, {"Hybrid system overview","Electric vehicle guide","Infotainment system"})) &gt; 0,
    VLOOKUP(D340, 챕터!$D$4:$E$100, 2, FALSE),
    VLOOKUP(D340, 챕터!$B$4:$C$100, 2, FALSE)
  )
))</f>
        <v>3</v>
      </c>
      <c r="K340" s="57"/>
      <c r="L340"/>
      <c r="M340"/>
      <c r="N340" s="19"/>
      <c r="O340" s="1"/>
    </row>
    <row r="341" spans="2:15">
      <c r="B341" s="55">
        <v>337</v>
      </c>
      <c r="C341" t="s">
        <v>397</v>
      </c>
      <c r="D341" s="85" t="s">
        <v>24</v>
      </c>
      <c r="E341" s="59" t="s">
        <v>1</v>
      </c>
      <c r="F341" s="32">
        <v>4500</v>
      </c>
      <c r="G341" s="56">
        <v>1</v>
      </c>
      <c r="H341" s="32">
        <v>4500</v>
      </c>
      <c r="I341" s="58" t="str">
        <f t="shared" ca="1" si="5"/>
        <v>MV1_EV_27MY_KO</v>
      </c>
      <c r="J341" s="65" cm="1">
        <f t="array" ref="J341">IF(D341="","",IF(
  COUNTIF($D$5:$D$571, "Infotainment system") &gt; 0,
  VLOOKUP(D341, 챕터!$F$4:$G$100, 2, FALSE),
  IF(
    SUM(COUNTIF($D$5:$D$571, {"Hybrid system overview","Electric vehicle guide","Infotainment system"})) &gt; 0,
    VLOOKUP(D341, 챕터!$D$4:$E$100, 2, FALSE),
    VLOOKUP(D341, 챕터!$B$4:$C$100, 2, FALSE)
  )
))</f>
        <v>3</v>
      </c>
      <c r="K341" s="57"/>
      <c r="L341"/>
      <c r="M341"/>
      <c r="N341" s="19"/>
      <c r="O341" s="1"/>
    </row>
    <row r="342" spans="2:15">
      <c r="B342" s="55">
        <v>338</v>
      </c>
      <c r="C342" t="s">
        <v>398</v>
      </c>
      <c r="D342" s="85" t="s">
        <v>24</v>
      </c>
      <c r="E342" s="59" t="s">
        <v>1</v>
      </c>
      <c r="F342" s="32">
        <v>4500</v>
      </c>
      <c r="G342" s="56">
        <v>1</v>
      </c>
      <c r="H342" s="32">
        <v>4500</v>
      </c>
      <c r="I342" s="58" t="str">
        <f t="shared" ca="1" si="5"/>
        <v>MV1_EV_27MY_KO</v>
      </c>
      <c r="J342" s="65" cm="1">
        <f t="array" ref="J342">IF(D342="","",IF(
  COUNTIF($D$5:$D$571, "Infotainment system") &gt; 0,
  VLOOKUP(D342, 챕터!$F$4:$G$100, 2, FALSE),
  IF(
    SUM(COUNTIF($D$5:$D$571, {"Hybrid system overview","Electric vehicle guide","Infotainment system"})) &gt; 0,
    VLOOKUP(D342, 챕터!$D$4:$E$100, 2, FALSE),
    VLOOKUP(D342, 챕터!$B$4:$C$100, 2, FALSE)
  )
))</f>
        <v>3</v>
      </c>
      <c r="K342" s="57"/>
      <c r="L342"/>
      <c r="M342"/>
      <c r="N342" s="19"/>
      <c r="O342" s="1"/>
    </row>
    <row r="343" spans="2:15">
      <c r="B343" s="55">
        <v>339</v>
      </c>
      <c r="C343" t="s">
        <v>399</v>
      </c>
      <c r="D343" s="85" t="s">
        <v>24</v>
      </c>
      <c r="E343" s="59" t="s">
        <v>1</v>
      </c>
      <c r="F343" s="32">
        <v>4500</v>
      </c>
      <c r="G343" s="56">
        <v>1</v>
      </c>
      <c r="H343" s="32">
        <v>4500</v>
      </c>
      <c r="I343" s="58" t="str">
        <f t="shared" ca="1" si="5"/>
        <v>MV1_EV_27MY_KO</v>
      </c>
      <c r="J343" s="65" cm="1">
        <f t="array" ref="J343">IF(D343="","",IF(
  COUNTIF($D$5:$D$571, "Infotainment system") &gt; 0,
  VLOOKUP(D343, 챕터!$F$4:$G$100, 2, FALSE),
  IF(
    SUM(COUNTIF($D$5:$D$571, {"Hybrid system overview","Electric vehicle guide","Infotainment system"})) &gt; 0,
    VLOOKUP(D343, 챕터!$D$4:$E$100, 2, FALSE),
    VLOOKUP(D343, 챕터!$B$4:$C$100, 2, FALSE)
  )
))</f>
        <v>3</v>
      </c>
      <c r="K343" s="57"/>
      <c r="L343"/>
      <c r="M343"/>
      <c r="N343" s="19"/>
      <c r="O343" s="1"/>
    </row>
    <row r="344" spans="2:15">
      <c r="B344" s="55">
        <v>340</v>
      </c>
      <c r="C344" t="s">
        <v>400</v>
      </c>
      <c r="D344" s="85" t="s">
        <v>24</v>
      </c>
      <c r="E344" s="59" t="s">
        <v>1</v>
      </c>
      <c r="F344" s="32">
        <v>4500</v>
      </c>
      <c r="G344" s="56">
        <v>1</v>
      </c>
      <c r="H344" s="32">
        <v>4500</v>
      </c>
      <c r="I344" s="58" t="str">
        <f t="shared" ca="1" si="5"/>
        <v>MV1_EV_27MY_KO</v>
      </c>
      <c r="J344" s="65" cm="1">
        <f t="array" ref="J344">IF(D344="","",IF(
  COUNTIF($D$5:$D$571, "Infotainment system") &gt; 0,
  VLOOKUP(D344, 챕터!$F$4:$G$100, 2, FALSE),
  IF(
    SUM(COUNTIF($D$5:$D$571, {"Hybrid system overview","Electric vehicle guide","Infotainment system"})) &gt; 0,
    VLOOKUP(D344, 챕터!$D$4:$E$100, 2, FALSE),
    VLOOKUP(D344, 챕터!$B$4:$C$100, 2, FALSE)
  )
))</f>
        <v>3</v>
      </c>
      <c r="K344" s="57"/>
      <c r="L344"/>
      <c r="M344"/>
      <c r="N344" s="19"/>
      <c r="O344" s="1"/>
    </row>
    <row r="345" spans="2:15">
      <c r="B345" s="55">
        <v>341</v>
      </c>
      <c r="C345" t="s">
        <v>401</v>
      </c>
      <c r="D345" s="85" t="s">
        <v>24</v>
      </c>
      <c r="E345" s="59" t="s">
        <v>1</v>
      </c>
      <c r="F345" s="32">
        <v>4500</v>
      </c>
      <c r="G345" s="56">
        <v>1</v>
      </c>
      <c r="H345" s="32">
        <v>4500</v>
      </c>
      <c r="I345" s="58" t="str">
        <f t="shared" ca="1" si="5"/>
        <v>MV1_EV_27MY_KO</v>
      </c>
      <c r="J345" s="65" cm="1">
        <f t="array" ref="J345">IF(D345="","",IF(
  COUNTIF($D$5:$D$571, "Infotainment system") &gt; 0,
  VLOOKUP(D345, 챕터!$F$4:$G$100, 2, FALSE),
  IF(
    SUM(COUNTIF($D$5:$D$571, {"Hybrid system overview","Electric vehicle guide","Infotainment system"})) &gt; 0,
    VLOOKUP(D345, 챕터!$D$4:$E$100, 2, FALSE),
    VLOOKUP(D345, 챕터!$B$4:$C$100, 2, FALSE)
  )
))</f>
        <v>3</v>
      </c>
      <c r="K345" s="57"/>
      <c r="L345"/>
      <c r="M345"/>
      <c r="N345" s="19"/>
      <c r="O345" s="1"/>
    </row>
    <row r="346" spans="2:15">
      <c r="B346" s="55">
        <v>342</v>
      </c>
      <c r="C346" t="s">
        <v>402</v>
      </c>
      <c r="D346" s="85" t="s">
        <v>24</v>
      </c>
      <c r="E346" s="59" t="s">
        <v>1</v>
      </c>
      <c r="F346" s="32">
        <v>4500</v>
      </c>
      <c r="G346" s="56">
        <v>1</v>
      </c>
      <c r="H346" s="32">
        <v>4500</v>
      </c>
      <c r="I346" s="58" t="str">
        <f t="shared" ca="1" si="5"/>
        <v>MV1_EV_27MY_KO</v>
      </c>
      <c r="J346" s="65" cm="1">
        <f t="array" ref="J346">IF(D346="","",IF(
  COUNTIF($D$5:$D$571, "Infotainment system") &gt; 0,
  VLOOKUP(D346, 챕터!$F$4:$G$100, 2, FALSE),
  IF(
    SUM(COUNTIF($D$5:$D$571, {"Hybrid system overview","Electric vehicle guide","Infotainment system"})) &gt; 0,
    VLOOKUP(D346, 챕터!$D$4:$E$100, 2, FALSE),
    VLOOKUP(D346, 챕터!$B$4:$C$100, 2, FALSE)
  )
))</f>
        <v>3</v>
      </c>
      <c r="K346" s="57"/>
      <c r="L346"/>
      <c r="M346"/>
      <c r="N346" s="19"/>
      <c r="O346" s="1"/>
    </row>
    <row r="347" spans="2:15">
      <c r="B347" s="55">
        <v>343</v>
      </c>
      <c r="C347" t="s">
        <v>403</v>
      </c>
      <c r="D347" s="85" t="s">
        <v>24</v>
      </c>
      <c r="E347" s="59" t="s">
        <v>1</v>
      </c>
      <c r="F347" s="32">
        <v>4500</v>
      </c>
      <c r="G347" s="56">
        <v>1</v>
      </c>
      <c r="H347" s="32">
        <v>4500</v>
      </c>
      <c r="I347" s="58" t="str">
        <f t="shared" ca="1" si="5"/>
        <v>MV1_EV_27MY_KO</v>
      </c>
      <c r="J347" s="65" cm="1">
        <f t="array" ref="J347">IF(D347="","",IF(
  COUNTIF($D$5:$D$571, "Infotainment system") &gt; 0,
  VLOOKUP(D347, 챕터!$F$4:$G$100, 2, FALSE),
  IF(
    SUM(COUNTIF($D$5:$D$571, {"Hybrid system overview","Electric vehicle guide","Infotainment system"})) &gt; 0,
    VLOOKUP(D347, 챕터!$D$4:$E$100, 2, FALSE),
    VLOOKUP(D347, 챕터!$B$4:$C$100, 2, FALSE)
  )
))</f>
        <v>3</v>
      </c>
      <c r="K347" s="57"/>
      <c r="L347"/>
      <c r="M347"/>
      <c r="N347" s="19"/>
      <c r="O347" s="1"/>
    </row>
    <row r="348" spans="2:15">
      <c r="B348" s="55">
        <v>344</v>
      </c>
      <c r="C348" t="s">
        <v>404</v>
      </c>
      <c r="D348" s="85" t="s">
        <v>24</v>
      </c>
      <c r="E348" s="59" t="s">
        <v>1</v>
      </c>
      <c r="F348" s="32">
        <v>4500</v>
      </c>
      <c r="G348" s="56">
        <v>1</v>
      </c>
      <c r="H348" s="32">
        <v>4500</v>
      </c>
      <c r="I348" s="58" t="str">
        <f t="shared" ca="1" si="5"/>
        <v>MV1_EV_27MY_KO</v>
      </c>
      <c r="J348" s="65" cm="1">
        <f t="array" ref="J348">IF(D348="","",IF(
  COUNTIF($D$5:$D$571, "Infotainment system") &gt; 0,
  VLOOKUP(D348, 챕터!$F$4:$G$100, 2, FALSE),
  IF(
    SUM(COUNTIF($D$5:$D$571, {"Hybrid system overview","Electric vehicle guide","Infotainment system"})) &gt; 0,
    VLOOKUP(D348, 챕터!$D$4:$E$100, 2, FALSE),
    VLOOKUP(D348, 챕터!$B$4:$C$100, 2, FALSE)
  )
))</f>
        <v>3</v>
      </c>
      <c r="K348" s="57"/>
      <c r="L348"/>
      <c r="M348"/>
      <c r="N348" s="19"/>
      <c r="O348" s="1"/>
    </row>
    <row r="349" spans="2:15">
      <c r="B349" s="55">
        <v>345</v>
      </c>
      <c r="C349" t="s">
        <v>405</v>
      </c>
      <c r="D349" s="85" t="s">
        <v>24</v>
      </c>
      <c r="E349" s="59" t="s">
        <v>1</v>
      </c>
      <c r="F349" s="32">
        <v>4500</v>
      </c>
      <c r="G349" s="56">
        <v>1</v>
      </c>
      <c r="H349" s="32">
        <v>4500</v>
      </c>
      <c r="I349" s="58" t="str">
        <f t="shared" ca="1" si="5"/>
        <v>MV1_EV_27MY_KO</v>
      </c>
      <c r="J349" s="65" cm="1">
        <f t="array" ref="J349">IF(D349="","",IF(
  COUNTIF($D$5:$D$571, "Infotainment system") &gt; 0,
  VLOOKUP(D349, 챕터!$F$4:$G$100, 2, FALSE),
  IF(
    SUM(COUNTIF($D$5:$D$571, {"Hybrid system overview","Electric vehicle guide","Infotainment system"})) &gt; 0,
    VLOOKUP(D349, 챕터!$D$4:$E$100, 2, FALSE),
    VLOOKUP(D349, 챕터!$B$4:$C$100, 2, FALSE)
  )
))</f>
        <v>3</v>
      </c>
      <c r="K349" s="57"/>
      <c r="L349"/>
      <c r="M349"/>
      <c r="N349" s="19"/>
      <c r="O349" s="1"/>
    </row>
    <row r="350" spans="2:15">
      <c r="B350" s="55">
        <v>346</v>
      </c>
      <c r="C350" t="s">
        <v>406</v>
      </c>
      <c r="D350" s="85" t="s">
        <v>24</v>
      </c>
      <c r="E350" s="59" t="s">
        <v>1</v>
      </c>
      <c r="F350" s="32">
        <v>4500</v>
      </c>
      <c r="G350" s="56">
        <v>1</v>
      </c>
      <c r="H350" s="32">
        <v>4500</v>
      </c>
      <c r="I350" s="58" t="str">
        <f t="shared" ca="1" si="5"/>
        <v>MV1_EV_27MY_KO</v>
      </c>
      <c r="J350" s="65" cm="1">
        <f t="array" ref="J350">IF(D350="","",IF(
  COUNTIF($D$5:$D$571, "Infotainment system") &gt; 0,
  VLOOKUP(D350, 챕터!$F$4:$G$100, 2, FALSE),
  IF(
    SUM(COUNTIF($D$5:$D$571, {"Hybrid system overview","Electric vehicle guide","Infotainment system"})) &gt; 0,
    VLOOKUP(D350, 챕터!$D$4:$E$100, 2, FALSE),
    VLOOKUP(D350, 챕터!$B$4:$C$100, 2, FALSE)
  )
))</f>
        <v>3</v>
      </c>
      <c r="K350" s="57"/>
      <c r="L350"/>
      <c r="M350"/>
      <c r="N350" s="19"/>
      <c r="O350" s="1"/>
    </row>
    <row r="351" spans="2:15">
      <c r="B351" s="55">
        <v>347</v>
      </c>
      <c r="C351" t="s">
        <v>407</v>
      </c>
      <c r="D351" s="85" t="s">
        <v>24</v>
      </c>
      <c r="E351" s="59" t="s">
        <v>1</v>
      </c>
      <c r="F351" s="32">
        <v>4500</v>
      </c>
      <c r="G351" s="56">
        <v>1</v>
      </c>
      <c r="H351" s="32">
        <v>4500</v>
      </c>
      <c r="I351" s="58" t="str">
        <f t="shared" ca="1" si="5"/>
        <v>MV1_EV_27MY_KO</v>
      </c>
      <c r="J351" s="65" cm="1">
        <f t="array" ref="J351">IF(D351="","",IF(
  COUNTIF($D$5:$D$571, "Infotainment system") &gt; 0,
  VLOOKUP(D351, 챕터!$F$4:$G$100, 2, FALSE),
  IF(
    SUM(COUNTIF($D$5:$D$571, {"Hybrid system overview","Electric vehicle guide","Infotainment system"})) &gt; 0,
    VLOOKUP(D351, 챕터!$D$4:$E$100, 2, FALSE),
    VLOOKUP(D351, 챕터!$B$4:$C$100, 2, FALSE)
  )
))</f>
        <v>3</v>
      </c>
      <c r="K351" s="57"/>
      <c r="L351"/>
      <c r="M351"/>
      <c r="N351" s="19"/>
      <c r="O351" s="1"/>
    </row>
    <row r="352" spans="2:15">
      <c r="B352" s="55">
        <v>348</v>
      </c>
      <c r="C352" t="s">
        <v>408</v>
      </c>
      <c r="D352" s="85" t="s">
        <v>24</v>
      </c>
      <c r="E352" s="59" t="s">
        <v>1</v>
      </c>
      <c r="F352" s="32">
        <v>4500</v>
      </c>
      <c r="G352" s="56">
        <v>1</v>
      </c>
      <c r="H352" s="32">
        <v>4500</v>
      </c>
      <c r="I352" s="58" t="str">
        <f t="shared" ca="1" si="5"/>
        <v>MV1_EV_27MY_KO</v>
      </c>
      <c r="J352" s="65" cm="1">
        <f t="array" ref="J352">IF(D352="","",IF(
  COUNTIF($D$5:$D$571, "Infotainment system") &gt; 0,
  VLOOKUP(D352, 챕터!$F$4:$G$100, 2, FALSE),
  IF(
    SUM(COUNTIF($D$5:$D$571, {"Hybrid system overview","Electric vehicle guide","Infotainment system"})) &gt; 0,
    VLOOKUP(D352, 챕터!$D$4:$E$100, 2, FALSE),
    VLOOKUP(D352, 챕터!$B$4:$C$100, 2, FALSE)
  )
))</f>
        <v>3</v>
      </c>
      <c r="K352" s="57"/>
      <c r="L352"/>
      <c r="M352"/>
      <c r="N352" s="19"/>
      <c r="O352" s="1"/>
    </row>
    <row r="353" spans="2:15">
      <c r="B353" s="55">
        <v>349</v>
      </c>
      <c r="C353" t="s">
        <v>409</v>
      </c>
      <c r="D353" s="85" t="s">
        <v>24</v>
      </c>
      <c r="E353" s="59" t="s">
        <v>1</v>
      </c>
      <c r="F353" s="32">
        <v>4500</v>
      </c>
      <c r="G353" s="56">
        <v>1</v>
      </c>
      <c r="H353" s="32">
        <v>4500</v>
      </c>
      <c r="I353" s="58" t="str">
        <f t="shared" ca="1" si="5"/>
        <v>MV1_EV_27MY_KO</v>
      </c>
      <c r="J353" s="65" cm="1">
        <f t="array" ref="J353">IF(D353="","",IF(
  COUNTIF($D$5:$D$571, "Infotainment system") &gt; 0,
  VLOOKUP(D353, 챕터!$F$4:$G$100, 2, FALSE),
  IF(
    SUM(COUNTIF($D$5:$D$571, {"Hybrid system overview","Electric vehicle guide","Infotainment system"})) &gt; 0,
    VLOOKUP(D353, 챕터!$D$4:$E$100, 2, FALSE),
    VLOOKUP(D353, 챕터!$B$4:$C$100, 2, FALSE)
  )
))</f>
        <v>3</v>
      </c>
      <c r="K353" s="57"/>
      <c r="L353"/>
      <c r="M353"/>
      <c r="N353" s="19"/>
      <c r="O353" s="1"/>
    </row>
    <row r="354" spans="2:15">
      <c r="B354" s="55">
        <v>350</v>
      </c>
      <c r="C354" t="s">
        <v>410</v>
      </c>
      <c r="D354" s="85" t="s">
        <v>24</v>
      </c>
      <c r="E354" s="59" t="s">
        <v>1</v>
      </c>
      <c r="F354" s="32">
        <v>4500</v>
      </c>
      <c r="G354" s="56">
        <v>1</v>
      </c>
      <c r="H354" s="32">
        <v>4500</v>
      </c>
      <c r="I354" s="58" t="str">
        <f t="shared" ca="1" si="5"/>
        <v>MV1_EV_27MY_KO</v>
      </c>
      <c r="J354" s="65" cm="1">
        <f t="array" ref="J354">IF(D354="","",IF(
  COUNTIF($D$5:$D$571, "Infotainment system") &gt; 0,
  VLOOKUP(D354, 챕터!$F$4:$G$100, 2, FALSE),
  IF(
    SUM(COUNTIF($D$5:$D$571, {"Hybrid system overview","Electric vehicle guide","Infotainment system"})) &gt; 0,
    VLOOKUP(D354, 챕터!$D$4:$E$100, 2, FALSE),
    VLOOKUP(D354, 챕터!$B$4:$C$100, 2, FALSE)
  )
))</f>
        <v>3</v>
      </c>
      <c r="K354" s="57"/>
      <c r="L354"/>
      <c r="M354"/>
      <c r="N354" s="19"/>
      <c r="O354" s="1"/>
    </row>
    <row r="355" spans="2:15">
      <c r="B355" s="55">
        <v>351</v>
      </c>
      <c r="C355" t="s">
        <v>411</v>
      </c>
      <c r="D355" s="85" t="s">
        <v>24</v>
      </c>
      <c r="E355" s="59" t="s">
        <v>1</v>
      </c>
      <c r="F355" s="32">
        <v>4500</v>
      </c>
      <c r="G355" s="56">
        <v>1</v>
      </c>
      <c r="H355" s="32">
        <v>4500</v>
      </c>
      <c r="I355" s="58" t="str">
        <f t="shared" ca="1" si="5"/>
        <v>MV1_EV_27MY_KO</v>
      </c>
      <c r="J355" s="65" cm="1">
        <f t="array" ref="J355">IF(D355="","",IF(
  COUNTIF($D$5:$D$571, "Infotainment system") &gt; 0,
  VLOOKUP(D355, 챕터!$F$4:$G$100, 2, FALSE),
  IF(
    SUM(COUNTIF($D$5:$D$571, {"Hybrid system overview","Electric vehicle guide","Infotainment system"})) &gt; 0,
    VLOOKUP(D355, 챕터!$D$4:$E$100, 2, FALSE),
    VLOOKUP(D355, 챕터!$B$4:$C$100, 2, FALSE)
  )
))</f>
        <v>3</v>
      </c>
      <c r="K355" s="57"/>
      <c r="L355"/>
      <c r="M355"/>
      <c r="N355" s="19"/>
      <c r="O355" s="1"/>
    </row>
    <row r="356" spans="2:15">
      <c r="B356" s="55">
        <v>352</v>
      </c>
      <c r="C356" t="s">
        <v>412</v>
      </c>
      <c r="D356" s="85" t="s">
        <v>24</v>
      </c>
      <c r="E356" s="59" t="s">
        <v>1</v>
      </c>
      <c r="F356" s="32">
        <v>4500</v>
      </c>
      <c r="G356" s="56">
        <v>1</v>
      </c>
      <c r="H356" s="32">
        <v>4500</v>
      </c>
      <c r="I356" s="58" t="str">
        <f t="shared" ca="1" si="5"/>
        <v>MV1_EV_27MY_KO</v>
      </c>
      <c r="J356" s="65" cm="1">
        <f t="array" ref="J356">IF(D356="","",IF(
  COUNTIF($D$5:$D$571, "Infotainment system") &gt; 0,
  VLOOKUP(D356, 챕터!$F$4:$G$100, 2, FALSE),
  IF(
    SUM(COUNTIF($D$5:$D$571, {"Hybrid system overview","Electric vehicle guide","Infotainment system"})) &gt; 0,
    VLOOKUP(D356, 챕터!$D$4:$E$100, 2, FALSE),
    VLOOKUP(D356, 챕터!$B$4:$C$100, 2, FALSE)
  )
))</f>
        <v>3</v>
      </c>
      <c r="K356" s="57"/>
      <c r="L356"/>
      <c r="M356"/>
      <c r="N356" s="19"/>
      <c r="O356" s="1"/>
    </row>
    <row r="357" spans="2:15">
      <c r="B357" s="55">
        <v>353</v>
      </c>
      <c r="C357" t="s">
        <v>413</v>
      </c>
      <c r="D357" s="85" t="s">
        <v>24</v>
      </c>
      <c r="E357" s="59" t="s">
        <v>1</v>
      </c>
      <c r="F357" s="32">
        <v>4500</v>
      </c>
      <c r="G357" s="56">
        <v>1</v>
      </c>
      <c r="H357" s="32">
        <v>4500</v>
      </c>
      <c r="I357" s="58" t="str">
        <f t="shared" ca="1" si="5"/>
        <v>MV1_EV_27MY_KO</v>
      </c>
      <c r="J357" s="65" cm="1">
        <f t="array" ref="J357">IF(D357="","",IF(
  COUNTIF($D$5:$D$571, "Infotainment system") &gt; 0,
  VLOOKUP(D357, 챕터!$F$4:$G$100, 2, FALSE),
  IF(
    SUM(COUNTIF($D$5:$D$571, {"Hybrid system overview","Electric vehicle guide","Infotainment system"})) &gt; 0,
    VLOOKUP(D357, 챕터!$D$4:$E$100, 2, FALSE),
    VLOOKUP(D357, 챕터!$B$4:$C$100, 2, FALSE)
  )
))</f>
        <v>3</v>
      </c>
      <c r="K357" s="57"/>
      <c r="L357"/>
      <c r="M357"/>
      <c r="N357" s="19"/>
      <c r="O357" s="1"/>
    </row>
    <row r="358" spans="2:15">
      <c r="B358" s="55">
        <v>354</v>
      </c>
      <c r="C358" t="s">
        <v>414</v>
      </c>
      <c r="D358" s="85" t="s">
        <v>24</v>
      </c>
      <c r="E358" s="59" t="s">
        <v>1</v>
      </c>
      <c r="F358" s="32">
        <v>4500</v>
      </c>
      <c r="G358" s="56">
        <v>1</v>
      </c>
      <c r="H358" s="32">
        <v>4500</v>
      </c>
      <c r="I358" s="58" t="str">
        <f t="shared" ca="1" si="5"/>
        <v>MV1_EV_27MY_KO</v>
      </c>
      <c r="J358" s="65" cm="1">
        <f t="array" ref="J358">IF(D358="","",IF(
  COUNTIF($D$5:$D$571, "Infotainment system") &gt; 0,
  VLOOKUP(D358, 챕터!$F$4:$G$100, 2, FALSE),
  IF(
    SUM(COUNTIF($D$5:$D$571, {"Hybrid system overview","Electric vehicle guide","Infotainment system"})) &gt; 0,
    VLOOKUP(D358, 챕터!$D$4:$E$100, 2, FALSE),
    VLOOKUP(D358, 챕터!$B$4:$C$100, 2, FALSE)
  )
))</f>
        <v>3</v>
      </c>
      <c r="K358" s="57"/>
      <c r="L358"/>
      <c r="M358"/>
      <c r="N358" s="19"/>
      <c r="O358" s="1"/>
    </row>
    <row r="359" spans="2:15">
      <c r="B359" s="55">
        <v>355</v>
      </c>
      <c r="C359" t="s">
        <v>415</v>
      </c>
      <c r="D359" s="85" t="s">
        <v>24</v>
      </c>
      <c r="E359" s="59" t="s">
        <v>1</v>
      </c>
      <c r="F359" s="32">
        <v>4500</v>
      </c>
      <c r="G359" s="56">
        <v>1</v>
      </c>
      <c r="H359" s="32">
        <v>4500</v>
      </c>
      <c r="I359" s="58" t="str">
        <f t="shared" ca="1" si="5"/>
        <v>MV1_EV_27MY_KO</v>
      </c>
      <c r="J359" s="65" cm="1">
        <f t="array" ref="J359">IF(D359="","",IF(
  COUNTIF($D$5:$D$571, "Infotainment system") &gt; 0,
  VLOOKUP(D359, 챕터!$F$4:$G$100, 2, FALSE),
  IF(
    SUM(COUNTIF($D$5:$D$571, {"Hybrid system overview","Electric vehicle guide","Infotainment system"})) &gt; 0,
    VLOOKUP(D359, 챕터!$D$4:$E$100, 2, FALSE),
    VLOOKUP(D359, 챕터!$B$4:$C$100, 2, FALSE)
  )
))</f>
        <v>3</v>
      </c>
      <c r="K359" s="57"/>
      <c r="L359"/>
      <c r="M359"/>
      <c r="N359" s="19"/>
      <c r="O359" s="1"/>
    </row>
    <row r="360" spans="2:15">
      <c r="B360" s="55">
        <v>356</v>
      </c>
      <c r="C360" t="s">
        <v>416</v>
      </c>
      <c r="D360" s="85" t="s">
        <v>24</v>
      </c>
      <c r="E360" s="59" t="s">
        <v>1</v>
      </c>
      <c r="F360" s="32">
        <v>4500</v>
      </c>
      <c r="G360" s="56">
        <v>1</v>
      </c>
      <c r="H360" s="32">
        <v>4500</v>
      </c>
      <c r="I360" s="58" t="str">
        <f t="shared" ca="1" si="5"/>
        <v>MV1_EV_27MY_KO</v>
      </c>
      <c r="J360" s="65" cm="1">
        <f t="array" ref="J360">IF(D360="","",IF(
  COUNTIF($D$5:$D$571, "Infotainment system") &gt; 0,
  VLOOKUP(D360, 챕터!$F$4:$G$100, 2, FALSE),
  IF(
    SUM(COUNTIF($D$5:$D$571, {"Hybrid system overview","Electric vehicle guide","Infotainment system"})) &gt; 0,
    VLOOKUP(D360, 챕터!$D$4:$E$100, 2, FALSE),
    VLOOKUP(D360, 챕터!$B$4:$C$100, 2, FALSE)
  )
))</f>
        <v>3</v>
      </c>
      <c r="K360" s="57"/>
      <c r="L360"/>
      <c r="M360"/>
      <c r="N360" s="19"/>
      <c r="O360" s="1"/>
    </row>
    <row r="361" spans="2:15">
      <c r="B361" s="55">
        <v>357</v>
      </c>
      <c r="C361" t="s">
        <v>417</v>
      </c>
      <c r="D361" s="85" t="s">
        <v>24</v>
      </c>
      <c r="E361" s="59" t="s">
        <v>1</v>
      </c>
      <c r="F361" s="32">
        <v>4500</v>
      </c>
      <c r="G361" s="56">
        <v>1</v>
      </c>
      <c r="H361" s="32">
        <v>4500</v>
      </c>
      <c r="I361" s="58" t="str">
        <f t="shared" ca="1" si="5"/>
        <v>MV1_EV_27MY_KO</v>
      </c>
      <c r="J361" s="65" cm="1">
        <f t="array" ref="J361">IF(D361="","",IF(
  COUNTIF($D$5:$D$571, "Infotainment system") &gt; 0,
  VLOOKUP(D361, 챕터!$F$4:$G$100, 2, FALSE),
  IF(
    SUM(COUNTIF($D$5:$D$571, {"Hybrid system overview","Electric vehicle guide","Infotainment system"})) &gt; 0,
    VLOOKUP(D361, 챕터!$D$4:$E$100, 2, FALSE),
    VLOOKUP(D361, 챕터!$B$4:$C$100, 2, FALSE)
  )
))</f>
        <v>3</v>
      </c>
      <c r="K361" s="57"/>
      <c r="L361"/>
      <c r="M361"/>
      <c r="N361" s="19"/>
      <c r="O361" s="1"/>
    </row>
    <row r="362" spans="2:15">
      <c r="B362" s="55">
        <v>358</v>
      </c>
      <c r="C362" t="s">
        <v>418</v>
      </c>
      <c r="D362" s="85" t="s">
        <v>24</v>
      </c>
      <c r="E362" s="59" t="s">
        <v>1</v>
      </c>
      <c r="F362" s="32">
        <v>4500</v>
      </c>
      <c r="G362" s="56">
        <v>1</v>
      </c>
      <c r="H362" s="32">
        <v>4500</v>
      </c>
      <c r="I362" s="58" t="str">
        <f t="shared" ca="1" si="5"/>
        <v>MV1_EV_27MY_KO</v>
      </c>
      <c r="J362" s="65" cm="1">
        <f t="array" ref="J362">IF(D362="","",IF(
  COUNTIF($D$5:$D$571, "Infotainment system") &gt; 0,
  VLOOKUP(D362, 챕터!$F$4:$G$100, 2, FALSE),
  IF(
    SUM(COUNTIF($D$5:$D$571, {"Hybrid system overview","Electric vehicle guide","Infotainment system"})) &gt; 0,
    VLOOKUP(D362, 챕터!$D$4:$E$100, 2, FALSE),
    VLOOKUP(D362, 챕터!$B$4:$C$100, 2, FALSE)
  )
))</f>
        <v>3</v>
      </c>
      <c r="K362" s="57"/>
      <c r="L362"/>
      <c r="M362"/>
      <c r="N362" s="19"/>
      <c r="O362" s="1"/>
    </row>
    <row r="363" spans="2:15">
      <c r="B363" s="55">
        <v>359</v>
      </c>
      <c r="C363" t="s">
        <v>419</v>
      </c>
      <c r="D363" s="85" t="s">
        <v>24</v>
      </c>
      <c r="E363" s="59" t="s">
        <v>1</v>
      </c>
      <c r="F363" s="32">
        <v>4500</v>
      </c>
      <c r="G363" s="56">
        <v>1</v>
      </c>
      <c r="H363" s="32">
        <v>4500</v>
      </c>
      <c r="I363" s="58" t="str">
        <f t="shared" ca="1" si="5"/>
        <v>MV1_EV_27MY_KO</v>
      </c>
      <c r="J363" s="65" cm="1">
        <f t="array" ref="J363">IF(D363="","",IF(
  COUNTIF($D$5:$D$571, "Infotainment system") &gt; 0,
  VLOOKUP(D363, 챕터!$F$4:$G$100, 2, FALSE),
  IF(
    SUM(COUNTIF($D$5:$D$571, {"Hybrid system overview","Electric vehicle guide","Infotainment system"})) &gt; 0,
    VLOOKUP(D363, 챕터!$D$4:$E$100, 2, FALSE),
    VLOOKUP(D363, 챕터!$B$4:$C$100, 2, FALSE)
  )
))</f>
        <v>3</v>
      </c>
      <c r="K363" s="57"/>
      <c r="L363"/>
      <c r="M363"/>
      <c r="N363" s="19"/>
      <c r="O363" s="1"/>
    </row>
    <row r="364" spans="2:15">
      <c r="B364" s="55">
        <v>360</v>
      </c>
      <c r="C364" t="s">
        <v>420</v>
      </c>
      <c r="D364" s="85" t="s">
        <v>24</v>
      </c>
      <c r="E364" s="59" t="s">
        <v>1</v>
      </c>
      <c r="F364" s="32">
        <v>4500</v>
      </c>
      <c r="G364" s="56">
        <v>1</v>
      </c>
      <c r="H364" s="32">
        <v>4500</v>
      </c>
      <c r="I364" s="58" t="str">
        <f t="shared" ca="1" si="5"/>
        <v>MV1_EV_27MY_KO</v>
      </c>
      <c r="J364" s="65" cm="1">
        <f t="array" ref="J364">IF(D364="","",IF(
  COUNTIF($D$5:$D$571, "Infotainment system") &gt; 0,
  VLOOKUP(D364, 챕터!$F$4:$G$100, 2, FALSE),
  IF(
    SUM(COUNTIF($D$5:$D$571, {"Hybrid system overview","Electric vehicle guide","Infotainment system"})) &gt; 0,
    VLOOKUP(D364, 챕터!$D$4:$E$100, 2, FALSE),
    VLOOKUP(D364, 챕터!$B$4:$C$100, 2, FALSE)
  )
))</f>
        <v>3</v>
      </c>
      <c r="K364" s="57"/>
      <c r="L364"/>
      <c r="M364"/>
      <c r="N364" s="19"/>
      <c r="O364" s="1"/>
    </row>
    <row r="365" spans="2:15">
      <c r="B365" s="55">
        <v>361</v>
      </c>
      <c r="C365" t="s">
        <v>421</v>
      </c>
      <c r="D365" s="85" t="s">
        <v>24</v>
      </c>
      <c r="E365" s="59" t="s">
        <v>1</v>
      </c>
      <c r="F365" s="32">
        <v>4500</v>
      </c>
      <c r="G365" s="56">
        <v>1</v>
      </c>
      <c r="H365" s="32">
        <v>4500</v>
      </c>
      <c r="I365" s="58" t="str">
        <f t="shared" ca="1" si="5"/>
        <v>MV1_EV_27MY_KO</v>
      </c>
      <c r="J365" s="65" cm="1">
        <f t="array" ref="J365">IF(D365="","",IF(
  COUNTIF($D$5:$D$571, "Infotainment system") &gt; 0,
  VLOOKUP(D365, 챕터!$F$4:$G$100, 2, FALSE),
  IF(
    SUM(COUNTIF($D$5:$D$571, {"Hybrid system overview","Electric vehicle guide","Infotainment system"})) &gt; 0,
    VLOOKUP(D365, 챕터!$D$4:$E$100, 2, FALSE),
    VLOOKUP(D365, 챕터!$B$4:$C$100, 2, FALSE)
  )
))</f>
        <v>3</v>
      </c>
      <c r="K365" s="57"/>
      <c r="L365"/>
      <c r="M365"/>
      <c r="N365" s="19"/>
      <c r="O365" s="1"/>
    </row>
    <row r="366" spans="2:15">
      <c r="B366" s="55">
        <v>362</v>
      </c>
      <c r="C366" t="s">
        <v>422</v>
      </c>
      <c r="D366" s="85" t="s">
        <v>24</v>
      </c>
      <c r="E366" s="59" t="s">
        <v>1</v>
      </c>
      <c r="F366" s="32">
        <v>4500</v>
      </c>
      <c r="G366" s="56">
        <v>1</v>
      </c>
      <c r="H366" s="32">
        <v>4500</v>
      </c>
      <c r="I366" s="58" t="str">
        <f t="shared" ca="1" si="5"/>
        <v>MV1_EV_27MY_KO</v>
      </c>
      <c r="J366" s="65" cm="1">
        <f t="array" ref="J366">IF(D366="","",IF(
  COUNTIF($D$5:$D$571, "Infotainment system") &gt; 0,
  VLOOKUP(D366, 챕터!$F$4:$G$100, 2, FALSE),
  IF(
    SUM(COUNTIF($D$5:$D$571, {"Hybrid system overview","Electric vehicle guide","Infotainment system"})) &gt; 0,
    VLOOKUP(D366, 챕터!$D$4:$E$100, 2, FALSE),
    VLOOKUP(D366, 챕터!$B$4:$C$100, 2, FALSE)
  )
))</f>
        <v>3</v>
      </c>
      <c r="K366" s="57"/>
      <c r="L366"/>
      <c r="M366"/>
      <c r="N366" s="19"/>
      <c r="O366" s="1"/>
    </row>
    <row r="367" spans="2:15">
      <c r="B367" s="55">
        <v>363</v>
      </c>
      <c r="C367" t="s">
        <v>423</v>
      </c>
      <c r="D367" s="85" t="s">
        <v>24</v>
      </c>
      <c r="E367" s="59" t="s">
        <v>1</v>
      </c>
      <c r="F367" s="32">
        <v>4500</v>
      </c>
      <c r="G367" s="56">
        <v>1</v>
      </c>
      <c r="H367" s="32">
        <v>4500</v>
      </c>
      <c r="I367" s="58" t="str">
        <f t="shared" ca="1" si="5"/>
        <v>MV1_EV_27MY_KO</v>
      </c>
      <c r="J367" s="65" cm="1">
        <f t="array" ref="J367">IF(D367="","",IF(
  COUNTIF($D$5:$D$571, "Infotainment system") &gt; 0,
  VLOOKUP(D367, 챕터!$F$4:$G$100, 2, FALSE),
  IF(
    SUM(COUNTIF($D$5:$D$571, {"Hybrid system overview","Electric vehicle guide","Infotainment system"})) &gt; 0,
    VLOOKUP(D367, 챕터!$D$4:$E$100, 2, FALSE),
    VLOOKUP(D367, 챕터!$B$4:$C$100, 2, FALSE)
  )
))</f>
        <v>3</v>
      </c>
      <c r="K367" s="57"/>
      <c r="L367"/>
      <c r="M367"/>
      <c r="N367" s="19"/>
      <c r="O367" s="1"/>
    </row>
    <row r="368" spans="2:15">
      <c r="B368" s="55">
        <v>364</v>
      </c>
      <c r="C368" t="s">
        <v>424</v>
      </c>
      <c r="D368" s="85" t="s">
        <v>24</v>
      </c>
      <c r="E368" s="59" t="s">
        <v>1</v>
      </c>
      <c r="F368" s="32">
        <v>4500</v>
      </c>
      <c r="G368" s="56">
        <v>1</v>
      </c>
      <c r="H368" s="32">
        <v>4500</v>
      </c>
      <c r="I368" s="58" t="str">
        <f t="shared" ca="1" si="5"/>
        <v>MV1_EV_27MY_KO</v>
      </c>
      <c r="J368" s="65" cm="1">
        <f t="array" ref="J368">IF(D368="","",IF(
  COUNTIF($D$5:$D$571, "Infotainment system") &gt; 0,
  VLOOKUP(D368, 챕터!$F$4:$G$100, 2, FALSE),
  IF(
    SUM(COUNTIF($D$5:$D$571, {"Hybrid system overview","Electric vehicle guide","Infotainment system"})) &gt; 0,
    VLOOKUP(D368, 챕터!$D$4:$E$100, 2, FALSE),
    VLOOKUP(D368, 챕터!$B$4:$C$100, 2, FALSE)
  )
))</f>
        <v>3</v>
      </c>
      <c r="K368" s="57"/>
      <c r="L368"/>
      <c r="M368"/>
      <c r="N368" s="19"/>
      <c r="O368" s="1"/>
    </row>
    <row r="369" spans="2:15">
      <c r="B369" s="55">
        <v>365</v>
      </c>
      <c r="C369" t="s">
        <v>425</v>
      </c>
      <c r="D369" s="85" t="s">
        <v>24</v>
      </c>
      <c r="E369" s="59" t="s">
        <v>1</v>
      </c>
      <c r="F369" s="32">
        <v>4500</v>
      </c>
      <c r="G369" s="56">
        <v>1</v>
      </c>
      <c r="H369" s="32">
        <v>4500</v>
      </c>
      <c r="I369" s="58" t="str">
        <f t="shared" ca="1" si="5"/>
        <v>MV1_EV_27MY_KO</v>
      </c>
      <c r="J369" s="65" cm="1">
        <f t="array" ref="J369">IF(D369="","",IF(
  COUNTIF($D$5:$D$571, "Infotainment system") &gt; 0,
  VLOOKUP(D369, 챕터!$F$4:$G$100, 2, FALSE),
  IF(
    SUM(COUNTIF($D$5:$D$571, {"Hybrid system overview","Electric vehicle guide","Infotainment system"})) &gt; 0,
    VLOOKUP(D369, 챕터!$D$4:$E$100, 2, FALSE),
    VLOOKUP(D369, 챕터!$B$4:$C$100, 2, FALSE)
  )
))</f>
        <v>3</v>
      </c>
      <c r="K369" s="57"/>
      <c r="L369"/>
      <c r="M369"/>
      <c r="N369" s="19"/>
      <c r="O369" s="1"/>
    </row>
    <row r="370" spans="2:15">
      <c r="B370" s="55">
        <v>366</v>
      </c>
      <c r="C370" t="s">
        <v>426</v>
      </c>
      <c r="D370" s="85" t="s">
        <v>24</v>
      </c>
      <c r="E370" s="59" t="s">
        <v>1</v>
      </c>
      <c r="F370" s="32">
        <v>4500</v>
      </c>
      <c r="G370" s="56">
        <v>1</v>
      </c>
      <c r="H370" s="32">
        <v>4500</v>
      </c>
      <c r="I370" s="58" t="str">
        <f t="shared" ca="1" si="5"/>
        <v>MV1_EV_27MY_KO</v>
      </c>
      <c r="J370" s="65" cm="1">
        <f t="array" ref="J370">IF(D370="","",IF(
  COUNTIF($D$5:$D$571, "Infotainment system") &gt; 0,
  VLOOKUP(D370, 챕터!$F$4:$G$100, 2, FALSE),
  IF(
    SUM(COUNTIF($D$5:$D$571, {"Hybrid system overview","Electric vehicle guide","Infotainment system"})) &gt; 0,
    VLOOKUP(D370, 챕터!$D$4:$E$100, 2, FALSE),
    VLOOKUP(D370, 챕터!$B$4:$C$100, 2, FALSE)
  )
))</f>
        <v>3</v>
      </c>
      <c r="K370" s="57"/>
      <c r="L370"/>
      <c r="M370"/>
      <c r="N370" s="19"/>
      <c r="O370" s="1"/>
    </row>
    <row r="371" spans="2:15">
      <c r="B371" s="55">
        <v>367</v>
      </c>
      <c r="C371" t="s">
        <v>427</v>
      </c>
      <c r="D371" s="85" t="s">
        <v>24</v>
      </c>
      <c r="E371" s="59" t="s">
        <v>1</v>
      </c>
      <c r="F371" s="32">
        <v>4500</v>
      </c>
      <c r="G371" s="56">
        <v>1</v>
      </c>
      <c r="H371" s="32">
        <v>4500</v>
      </c>
      <c r="I371" s="58" t="str">
        <f t="shared" ca="1" si="5"/>
        <v>MV1_EV_27MY_KO</v>
      </c>
      <c r="J371" s="65" cm="1">
        <f t="array" ref="J371">IF(D371="","",IF(
  COUNTIF($D$5:$D$571, "Infotainment system") &gt; 0,
  VLOOKUP(D371, 챕터!$F$4:$G$100, 2, FALSE),
  IF(
    SUM(COUNTIF($D$5:$D$571, {"Hybrid system overview","Electric vehicle guide","Infotainment system"})) &gt; 0,
    VLOOKUP(D371, 챕터!$D$4:$E$100, 2, FALSE),
    VLOOKUP(D371, 챕터!$B$4:$C$100, 2, FALSE)
  )
))</f>
        <v>3</v>
      </c>
      <c r="K371" s="57"/>
      <c r="L371"/>
      <c r="M371"/>
      <c r="N371" s="19"/>
      <c r="O371" s="1"/>
    </row>
    <row r="372" spans="2:15">
      <c r="B372" s="55">
        <v>368</v>
      </c>
      <c r="C372" t="s">
        <v>428</v>
      </c>
      <c r="D372" s="85" t="s">
        <v>24</v>
      </c>
      <c r="E372" s="59" t="s">
        <v>1</v>
      </c>
      <c r="F372" s="32">
        <v>4500</v>
      </c>
      <c r="G372" s="56">
        <v>1</v>
      </c>
      <c r="H372" s="32">
        <v>4500</v>
      </c>
      <c r="I372" s="58" t="str">
        <f t="shared" ca="1" si="5"/>
        <v>MV1_EV_27MY_KO</v>
      </c>
      <c r="J372" s="65" cm="1">
        <f t="array" ref="J372">IF(D372="","",IF(
  COUNTIF($D$5:$D$571, "Infotainment system") &gt; 0,
  VLOOKUP(D372, 챕터!$F$4:$G$100, 2, FALSE),
  IF(
    SUM(COUNTIF($D$5:$D$571, {"Hybrid system overview","Electric vehicle guide","Infotainment system"})) &gt; 0,
    VLOOKUP(D372, 챕터!$D$4:$E$100, 2, FALSE),
    VLOOKUP(D372, 챕터!$B$4:$C$100, 2, FALSE)
  )
))</f>
        <v>3</v>
      </c>
      <c r="K372" s="57"/>
      <c r="L372"/>
      <c r="M372"/>
      <c r="N372" s="19"/>
      <c r="O372" s="1"/>
    </row>
    <row r="373" spans="2:15">
      <c r="B373" s="55">
        <v>369</v>
      </c>
      <c r="C373" t="s">
        <v>429</v>
      </c>
      <c r="D373" s="85" t="s">
        <v>24</v>
      </c>
      <c r="E373" s="59" t="s">
        <v>1</v>
      </c>
      <c r="F373" s="32">
        <v>4500</v>
      </c>
      <c r="G373" s="56">
        <v>1</v>
      </c>
      <c r="H373" s="32">
        <v>4500</v>
      </c>
      <c r="I373" s="58" t="str">
        <f t="shared" ca="1" si="5"/>
        <v>MV1_EV_27MY_KO</v>
      </c>
      <c r="J373" s="65" cm="1">
        <f t="array" ref="J373">IF(D373="","",IF(
  COUNTIF($D$5:$D$571, "Infotainment system") &gt; 0,
  VLOOKUP(D373, 챕터!$F$4:$G$100, 2, FALSE),
  IF(
    SUM(COUNTIF($D$5:$D$571, {"Hybrid system overview","Electric vehicle guide","Infotainment system"})) &gt; 0,
    VLOOKUP(D373, 챕터!$D$4:$E$100, 2, FALSE),
    VLOOKUP(D373, 챕터!$B$4:$C$100, 2, FALSE)
  )
))</f>
        <v>3</v>
      </c>
      <c r="K373" s="57"/>
      <c r="L373"/>
      <c r="M373"/>
      <c r="N373" s="19"/>
      <c r="O373" s="1"/>
    </row>
    <row r="374" spans="2:15">
      <c r="B374" s="55">
        <v>370</v>
      </c>
      <c r="C374" t="s">
        <v>430</v>
      </c>
      <c r="D374" s="85" t="s">
        <v>24</v>
      </c>
      <c r="E374" s="59" t="s">
        <v>1</v>
      </c>
      <c r="F374" s="32">
        <v>4500</v>
      </c>
      <c r="G374" s="56">
        <v>1</v>
      </c>
      <c r="H374" s="32">
        <v>4500</v>
      </c>
      <c r="I374" s="58" t="str">
        <f t="shared" ca="1" si="5"/>
        <v>MV1_EV_27MY_KO</v>
      </c>
      <c r="J374" s="65" cm="1">
        <f t="array" ref="J374">IF(D374="","",IF(
  COUNTIF($D$5:$D$571, "Infotainment system") &gt; 0,
  VLOOKUP(D374, 챕터!$F$4:$G$100, 2, FALSE),
  IF(
    SUM(COUNTIF($D$5:$D$571, {"Hybrid system overview","Electric vehicle guide","Infotainment system"})) &gt; 0,
    VLOOKUP(D374, 챕터!$D$4:$E$100, 2, FALSE),
    VLOOKUP(D374, 챕터!$B$4:$C$100, 2, FALSE)
  )
))</f>
        <v>3</v>
      </c>
      <c r="K374" s="57"/>
      <c r="L374"/>
      <c r="M374"/>
      <c r="N374" s="19"/>
      <c r="O374" s="1"/>
    </row>
    <row r="375" spans="2:15">
      <c r="B375" s="55">
        <v>371</v>
      </c>
      <c r="C375" t="s">
        <v>431</v>
      </c>
      <c r="D375" s="85" t="s">
        <v>24</v>
      </c>
      <c r="E375" s="59" t="s">
        <v>1</v>
      </c>
      <c r="F375" s="32">
        <v>4500</v>
      </c>
      <c r="G375" s="56">
        <v>1</v>
      </c>
      <c r="H375" s="32">
        <v>4500</v>
      </c>
      <c r="I375" s="58" t="str">
        <f t="shared" ca="1" si="5"/>
        <v>MV1_EV_27MY_KO</v>
      </c>
      <c r="J375" s="65" cm="1">
        <f t="array" ref="J375">IF(D375="","",IF(
  COUNTIF($D$5:$D$571, "Infotainment system") &gt; 0,
  VLOOKUP(D375, 챕터!$F$4:$G$100, 2, FALSE),
  IF(
    SUM(COUNTIF($D$5:$D$571, {"Hybrid system overview","Electric vehicle guide","Infotainment system"})) &gt; 0,
    VLOOKUP(D375, 챕터!$D$4:$E$100, 2, FALSE),
    VLOOKUP(D375, 챕터!$B$4:$C$100, 2, FALSE)
  )
))</f>
        <v>3</v>
      </c>
      <c r="K375" s="57"/>
      <c r="L375"/>
      <c r="M375"/>
      <c r="N375" s="19"/>
      <c r="O375" s="1"/>
    </row>
    <row r="376" spans="2:15">
      <c r="B376" s="55">
        <v>372</v>
      </c>
      <c r="C376" t="s">
        <v>432</v>
      </c>
      <c r="D376" s="85" t="s">
        <v>24</v>
      </c>
      <c r="E376" s="59" t="s">
        <v>1</v>
      </c>
      <c r="F376" s="32">
        <v>4500</v>
      </c>
      <c r="G376" s="56">
        <v>1</v>
      </c>
      <c r="H376" s="32">
        <v>4500</v>
      </c>
      <c r="I376" s="58" t="str">
        <f t="shared" ca="1" si="5"/>
        <v>MV1_EV_27MY_KO</v>
      </c>
      <c r="J376" s="65" cm="1">
        <f t="array" ref="J376">IF(D376="","",IF(
  COUNTIF($D$5:$D$571, "Infotainment system") &gt; 0,
  VLOOKUP(D376, 챕터!$F$4:$G$100, 2, FALSE),
  IF(
    SUM(COUNTIF($D$5:$D$571, {"Hybrid system overview","Electric vehicle guide","Infotainment system"})) &gt; 0,
    VLOOKUP(D376, 챕터!$D$4:$E$100, 2, FALSE),
    VLOOKUP(D376, 챕터!$B$4:$C$100, 2, FALSE)
  )
))</f>
        <v>3</v>
      </c>
      <c r="K376" s="57"/>
      <c r="L376"/>
      <c r="M376"/>
      <c r="N376" s="19"/>
      <c r="O376" s="1"/>
    </row>
    <row r="377" spans="2:15">
      <c r="B377" s="55">
        <v>373</v>
      </c>
      <c r="C377" t="s">
        <v>433</v>
      </c>
      <c r="D377" s="85" t="s">
        <v>24</v>
      </c>
      <c r="E377" s="59" t="s">
        <v>1</v>
      </c>
      <c r="F377" s="32">
        <v>4500</v>
      </c>
      <c r="G377" s="56">
        <v>1</v>
      </c>
      <c r="H377" s="32">
        <v>4500</v>
      </c>
      <c r="I377" s="58" t="str">
        <f t="shared" ca="1" si="5"/>
        <v>MV1_EV_27MY_KO</v>
      </c>
      <c r="J377" s="65" cm="1">
        <f t="array" ref="J377">IF(D377="","",IF(
  COUNTIF($D$5:$D$571, "Infotainment system") &gt; 0,
  VLOOKUP(D377, 챕터!$F$4:$G$100, 2, FALSE),
  IF(
    SUM(COUNTIF($D$5:$D$571, {"Hybrid system overview","Electric vehicle guide","Infotainment system"})) &gt; 0,
    VLOOKUP(D377, 챕터!$D$4:$E$100, 2, FALSE),
    VLOOKUP(D377, 챕터!$B$4:$C$100, 2, FALSE)
  )
))</f>
        <v>3</v>
      </c>
      <c r="K377" s="57"/>
      <c r="L377"/>
      <c r="M377"/>
      <c r="N377" s="19"/>
      <c r="O377" s="1"/>
    </row>
    <row r="378" spans="2:15">
      <c r="B378" s="55">
        <v>374</v>
      </c>
      <c r="C378" t="s">
        <v>434</v>
      </c>
      <c r="D378" s="85" t="s">
        <v>24</v>
      </c>
      <c r="E378" s="59" t="s">
        <v>1</v>
      </c>
      <c r="F378" s="32">
        <v>4500</v>
      </c>
      <c r="G378" s="56">
        <v>1</v>
      </c>
      <c r="H378" s="32">
        <v>4500</v>
      </c>
      <c r="I378" s="58" t="str">
        <f t="shared" ca="1" si="5"/>
        <v>MV1_EV_27MY_KO</v>
      </c>
      <c r="J378" s="65" cm="1">
        <f t="array" ref="J378">IF(D378="","",IF(
  COUNTIF($D$5:$D$571, "Infotainment system") &gt; 0,
  VLOOKUP(D378, 챕터!$F$4:$G$100, 2, FALSE),
  IF(
    SUM(COUNTIF($D$5:$D$571, {"Hybrid system overview","Electric vehicle guide","Infotainment system"})) &gt; 0,
    VLOOKUP(D378, 챕터!$D$4:$E$100, 2, FALSE),
    VLOOKUP(D378, 챕터!$B$4:$C$100, 2, FALSE)
  )
))</f>
        <v>3</v>
      </c>
      <c r="K378" s="57"/>
      <c r="L378"/>
      <c r="M378"/>
      <c r="N378" s="19"/>
      <c r="O378" s="1"/>
    </row>
    <row r="379" spans="2:15">
      <c r="B379" s="55">
        <v>375</v>
      </c>
      <c r="C379" t="s">
        <v>435</v>
      </c>
      <c r="D379" s="85" t="s">
        <v>24</v>
      </c>
      <c r="E379" s="59" t="s">
        <v>1</v>
      </c>
      <c r="F379" s="32">
        <v>4500</v>
      </c>
      <c r="G379" s="56">
        <v>1</v>
      </c>
      <c r="H379" s="32">
        <v>4500</v>
      </c>
      <c r="I379" s="58" t="str">
        <f t="shared" ca="1" si="5"/>
        <v>MV1_EV_27MY_KO</v>
      </c>
      <c r="J379" s="65" cm="1">
        <f t="array" ref="J379">IF(D379="","",IF(
  COUNTIF($D$5:$D$571, "Infotainment system") &gt; 0,
  VLOOKUP(D379, 챕터!$F$4:$G$100, 2, FALSE),
  IF(
    SUM(COUNTIF($D$5:$D$571, {"Hybrid system overview","Electric vehicle guide","Infotainment system"})) &gt; 0,
    VLOOKUP(D379, 챕터!$D$4:$E$100, 2, FALSE),
    VLOOKUP(D379, 챕터!$B$4:$C$100, 2, FALSE)
  )
))</f>
        <v>3</v>
      </c>
      <c r="K379" s="57"/>
      <c r="L379"/>
      <c r="M379"/>
      <c r="N379" s="19"/>
      <c r="O379" s="1"/>
    </row>
    <row r="380" spans="2:15">
      <c r="B380" s="55">
        <v>376</v>
      </c>
      <c r="C380" t="s">
        <v>436</v>
      </c>
      <c r="D380" s="85" t="s">
        <v>24</v>
      </c>
      <c r="E380" s="59" t="s">
        <v>1</v>
      </c>
      <c r="F380" s="32">
        <v>4500</v>
      </c>
      <c r="G380" s="56">
        <v>1</v>
      </c>
      <c r="H380" s="32">
        <v>4500</v>
      </c>
      <c r="I380" s="58" t="str">
        <f t="shared" ca="1" si="5"/>
        <v>MV1_EV_27MY_KO</v>
      </c>
      <c r="J380" s="65" cm="1">
        <f t="array" ref="J380">IF(D380="","",IF(
  COUNTIF($D$5:$D$571, "Infotainment system") &gt; 0,
  VLOOKUP(D380, 챕터!$F$4:$G$100, 2, FALSE),
  IF(
    SUM(COUNTIF($D$5:$D$571, {"Hybrid system overview","Electric vehicle guide","Infotainment system"})) &gt; 0,
    VLOOKUP(D380, 챕터!$D$4:$E$100, 2, FALSE),
    VLOOKUP(D380, 챕터!$B$4:$C$100, 2, FALSE)
  )
))</f>
        <v>3</v>
      </c>
      <c r="K380" s="57"/>
      <c r="L380"/>
      <c r="M380"/>
      <c r="N380" s="19"/>
      <c r="O380" s="1"/>
    </row>
    <row r="381" spans="2:15">
      <c r="B381" s="55">
        <v>377</v>
      </c>
      <c r="C381" t="s">
        <v>437</v>
      </c>
      <c r="D381" s="85" t="s">
        <v>24</v>
      </c>
      <c r="E381" s="59" t="s">
        <v>1</v>
      </c>
      <c r="F381" s="32">
        <v>4500</v>
      </c>
      <c r="G381" s="56">
        <v>1</v>
      </c>
      <c r="H381" s="32">
        <v>4500</v>
      </c>
      <c r="I381" s="58" t="str">
        <f t="shared" ca="1" si="5"/>
        <v>MV1_EV_27MY_KO</v>
      </c>
      <c r="J381" s="65" cm="1">
        <f t="array" ref="J381">IF(D381="","",IF(
  COUNTIF($D$5:$D$571, "Infotainment system") &gt; 0,
  VLOOKUP(D381, 챕터!$F$4:$G$100, 2, FALSE),
  IF(
    SUM(COUNTIF($D$5:$D$571, {"Hybrid system overview","Electric vehicle guide","Infotainment system"})) &gt; 0,
    VLOOKUP(D381, 챕터!$D$4:$E$100, 2, FALSE),
    VLOOKUP(D381, 챕터!$B$4:$C$100, 2, FALSE)
  )
))</f>
        <v>3</v>
      </c>
      <c r="K381" s="57"/>
      <c r="L381"/>
      <c r="M381"/>
      <c r="N381" s="19"/>
      <c r="O381" s="1"/>
    </row>
    <row r="382" spans="2:15">
      <c r="B382" s="55">
        <v>378</v>
      </c>
      <c r="C382" t="s">
        <v>438</v>
      </c>
      <c r="D382" s="85" t="s">
        <v>24</v>
      </c>
      <c r="E382" s="59" t="s">
        <v>1</v>
      </c>
      <c r="F382" s="32">
        <v>4500</v>
      </c>
      <c r="G382" s="56">
        <v>1</v>
      </c>
      <c r="H382" s="32">
        <v>4500</v>
      </c>
      <c r="I382" s="58" t="str">
        <f t="shared" ca="1" si="5"/>
        <v>MV1_EV_27MY_KO</v>
      </c>
      <c r="J382" s="65" cm="1">
        <f t="array" ref="J382">IF(D382="","",IF(
  COUNTIF($D$5:$D$571, "Infotainment system") &gt; 0,
  VLOOKUP(D382, 챕터!$F$4:$G$100, 2, FALSE),
  IF(
    SUM(COUNTIF($D$5:$D$571, {"Hybrid system overview","Electric vehicle guide","Infotainment system"})) &gt; 0,
    VLOOKUP(D382, 챕터!$D$4:$E$100, 2, FALSE),
    VLOOKUP(D382, 챕터!$B$4:$C$100, 2, FALSE)
  )
))</f>
        <v>3</v>
      </c>
      <c r="K382" s="57"/>
      <c r="L382"/>
      <c r="M382"/>
      <c r="N382" s="19"/>
      <c r="O382" s="1"/>
    </row>
    <row r="383" spans="2:15">
      <c r="B383" s="55">
        <v>379</v>
      </c>
      <c r="C383" t="s">
        <v>439</v>
      </c>
      <c r="D383" s="85" t="s">
        <v>24</v>
      </c>
      <c r="E383" s="59" t="s">
        <v>1</v>
      </c>
      <c r="F383" s="32">
        <v>4500</v>
      </c>
      <c r="G383" s="56">
        <v>1</v>
      </c>
      <c r="H383" s="32">
        <v>4500</v>
      </c>
      <c r="I383" s="58" t="str">
        <f t="shared" ca="1" si="5"/>
        <v>MV1_EV_27MY_KO</v>
      </c>
      <c r="J383" s="65" cm="1">
        <f t="array" ref="J383">IF(D383="","",IF(
  COUNTIF($D$5:$D$571, "Infotainment system") &gt; 0,
  VLOOKUP(D383, 챕터!$F$4:$G$100, 2, FALSE),
  IF(
    SUM(COUNTIF($D$5:$D$571, {"Hybrid system overview","Electric vehicle guide","Infotainment system"})) &gt; 0,
    VLOOKUP(D383, 챕터!$D$4:$E$100, 2, FALSE),
    VLOOKUP(D383, 챕터!$B$4:$C$100, 2, FALSE)
  )
))</f>
        <v>3</v>
      </c>
      <c r="K383" s="57"/>
      <c r="L383"/>
      <c r="M383"/>
      <c r="N383" s="19"/>
      <c r="O383" s="1"/>
    </row>
    <row r="384" spans="2:15">
      <c r="B384" s="55">
        <v>380</v>
      </c>
      <c r="C384" t="s">
        <v>440</v>
      </c>
      <c r="D384" s="85" t="s">
        <v>24</v>
      </c>
      <c r="E384" s="59" t="s">
        <v>1</v>
      </c>
      <c r="F384" s="32">
        <v>4500</v>
      </c>
      <c r="G384" s="56">
        <v>1</v>
      </c>
      <c r="H384" s="32">
        <v>4500</v>
      </c>
      <c r="I384" s="58" t="str">
        <f t="shared" ca="1" si="5"/>
        <v>MV1_EV_27MY_KO</v>
      </c>
      <c r="J384" s="65" cm="1">
        <f t="array" ref="J384">IF(D384="","",IF(
  COUNTIF($D$5:$D$571, "Infotainment system") &gt; 0,
  VLOOKUP(D384, 챕터!$F$4:$G$100, 2, FALSE),
  IF(
    SUM(COUNTIF($D$5:$D$571, {"Hybrid system overview","Electric vehicle guide","Infotainment system"})) &gt; 0,
    VLOOKUP(D384, 챕터!$D$4:$E$100, 2, FALSE),
    VLOOKUP(D384, 챕터!$B$4:$C$100, 2, FALSE)
  )
))</f>
        <v>3</v>
      </c>
      <c r="K384" s="57"/>
      <c r="L384"/>
      <c r="M384"/>
      <c r="N384" s="19"/>
      <c r="O384" s="1"/>
    </row>
    <row r="385" spans="2:15">
      <c r="B385" s="55">
        <v>381</v>
      </c>
      <c r="C385" t="s">
        <v>441</v>
      </c>
      <c r="D385" s="85" t="s">
        <v>24</v>
      </c>
      <c r="E385" s="59" t="s">
        <v>1</v>
      </c>
      <c r="F385" s="32">
        <v>4500</v>
      </c>
      <c r="G385" s="56">
        <v>1</v>
      </c>
      <c r="H385" s="32">
        <v>4500</v>
      </c>
      <c r="I385" s="58" t="str">
        <f t="shared" ca="1" si="5"/>
        <v>MV1_EV_27MY_KO</v>
      </c>
      <c r="J385" s="65" cm="1">
        <f t="array" ref="J385">IF(D385="","",IF(
  COUNTIF($D$5:$D$571, "Infotainment system") &gt; 0,
  VLOOKUP(D385, 챕터!$F$4:$G$100, 2, FALSE),
  IF(
    SUM(COUNTIF($D$5:$D$571, {"Hybrid system overview","Electric vehicle guide","Infotainment system"})) &gt; 0,
    VLOOKUP(D385, 챕터!$D$4:$E$100, 2, FALSE),
    VLOOKUP(D385, 챕터!$B$4:$C$100, 2, FALSE)
  )
))</f>
        <v>3</v>
      </c>
      <c r="K385" s="57"/>
      <c r="L385"/>
      <c r="M385"/>
      <c r="N385" s="19"/>
      <c r="O385" s="1"/>
    </row>
    <row r="386" spans="2:15">
      <c r="B386" s="55">
        <v>382</v>
      </c>
      <c r="C386" t="s">
        <v>442</v>
      </c>
      <c r="D386" s="85" t="s">
        <v>24</v>
      </c>
      <c r="E386" s="59" t="s">
        <v>1</v>
      </c>
      <c r="F386" s="32">
        <v>4500</v>
      </c>
      <c r="G386" s="56">
        <v>1</v>
      </c>
      <c r="H386" s="32">
        <v>4500</v>
      </c>
      <c r="I386" s="58" t="str">
        <f t="shared" ca="1" si="5"/>
        <v>MV1_EV_27MY_KO</v>
      </c>
      <c r="J386" s="65" cm="1">
        <f t="array" ref="J386">IF(D386="","",IF(
  COUNTIF($D$5:$D$571, "Infotainment system") &gt; 0,
  VLOOKUP(D386, 챕터!$F$4:$G$100, 2, FALSE),
  IF(
    SUM(COUNTIF($D$5:$D$571, {"Hybrid system overview","Electric vehicle guide","Infotainment system"})) &gt; 0,
    VLOOKUP(D386, 챕터!$D$4:$E$100, 2, FALSE),
    VLOOKUP(D386, 챕터!$B$4:$C$100, 2, FALSE)
  )
))</f>
        <v>3</v>
      </c>
      <c r="K386" s="57"/>
      <c r="L386"/>
      <c r="M386"/>
      <c r="N386" s="19"/>
      <c r="O386" s="1"/>
    </row>
    <row r="387" spans="2:15">
      <c r="B387" s="55">
        <v>383</v>
      </c>
      <c r="C387" t="s">
        <v>443</v>
      </c>
      <c r="D387" s="85" t="s">
        <v>24</v>
      </c>
      <c r="E387" s="59" t="s">
        <v>1</v>
      </c>
      <c r="F387" s="32">
        <v>4500</v>
      </c>
      <c r="G387" s="56">
        <v>1</v>
      </c>
      <c r="H387" s="32">
        <v>4500</v>
      </c>
      <c r="I387" s="58" t="str">
        <f t="shared" ca="1" si="5"/>
        <v>MV1_EV_27MY_KO</v>
      </c>
      <c r="J387" s="65" cm="1">
        <f t="array" ref="J387">IF(D387="","",IF(
  COUNTIF($D$5:$D$571, "Infotainment system") &gt; 0,
  VLOOKUP(D387, 챕터!$F$4:$G$100, 2, FALSE),
  IF(
    SUM(COUNTIF($D$5:$D$571, {"Hybrid system overview","Electric vehicle guide","Infotainment system"})) &gt; 0,
    VLOOKUP(D387, 챕터!$D$4:$E$100, 2, FALSE),
    VLOOKUP(D387, 챕터!$B$4:$C$100, 2, FALSE)
  )
))</f>
        <v>3</v>
      </c>
      <c r="K387" s="57"/>
      <c r="L387"/>
      <c r="M387"/>
      <c r="N387" s="19"/>
      <c r="O387" s="1"/>
    </row>
    <row r="388" spans="2:15">
      <c r="B388" s="55">
        <v>384</v>
      </c>
      <c r="C388" t="s">
        <v>444</v>
      </c>
      <c r="D388" s="85" t="s">
        <v>24</v>
      </c>
      <c r="E388" s="59" t="s">
        <v>1</v>
      </c>
      <c r="F388" s="32">
        <v>4500</v>
      </c>
      <c r="G388" s="56">
        <v>1</v>
      </c>
      <c r="H388" s="32">
        <v>4500</v>
      </c>
      <c r="I388" s="58" t="str">
        <f t="shared" ca="1" si="5"/>
        <v>MV1_EV_27MY_KO</v>
      </c>
      <c r="J388" s="65" cm="1">
        <f t="array" ref="J388">IF(D388="","",IF(
  COUNTIF($D$5:$D$571, "Infotainment system") &gt; 0,
  VLOOKUP(D388, 챕터!$F$4:$G$100, 2, FALSE),
  IF(
    SUM(COUNTIF($D$5:$D$571, {"Hybrid system overview","Electric vehicle guide","Infotainment system"})) &gt; 0,
    VLOOKUP(D388, 챕터!$D$4:$E$100, 2, FALSE),
    VLOOKUP(D388, 챕터!$B$4:$C$100, 2, FALSE)
  )
))</f>
        <v>3</v>
      </c>
      <c r="K388" s="57"/>
      <c r="L388"/>
      <c r="M388"/>
      <c r="N388" s="19"/>
      <c r="O388" s="1"/>
    </row>
    <row r="389" spans="2:15">
      <c r="B389" s="55">
        <v>385</v>
      </c>
      <c r="C389" t="s">
        <v>445</v>
      </c>
      <c r="D389" s="85" t="s">
        <v>24</v>
      </c>
      <c r="E389" s="59" t="s">
        <v>1</v>
      </c>
      <c r="F389" s="32">
        <v>4500</v>
      </c>
      <c r="G389" s="56">
        <v>1</v>
      </c>
      <c r="H389" s="32">
        <v>4500</v>
      </c>
      <c r="I389" s="58" t="str">
        <f t="shared" ca="1" si="5"/>
        <v>MV1_EV_27MY_KO</v>
      </c>
      <c r="J389" s="65" cm="1">
        <f t="array" ref="J389">IF(D389="","",IF(
  COUNTIF($D$5:$D$571, "Infotainment system") &gt; 0,
  VLOOKUP(D389, 챕터!$F$4:$G$100, 2, FALSE),
  IF(
    SUM(COUNTIF($D$5:$D$571, {"Hybrid system overview","Electric vehicle guide","Infotainment system"})) &gt; 0,
    VLOOKUP(D389, 챕터!$D$4:$E$100, 2, FALSE),
    VLOOKUP(D389, 챕터!$B$4:$C$100, 2, FALSE)
  )
))</f>
        <v>3</v>
      </c>
      <c r="K389" s="57"/>
      <c r="L389"/>
      <c r="M389"/>
      <c r="N389" s="19"/>
      <c r="O389" s="1"/>
    </row>
    <row r="390" spans="2:15">
      <c r="B390" s="55">
        <v>386</v>
      </c>
      <c r="C390" t="s">
        <v>446</v>
      </c>
      <c r="D390" s="85" t="s">
        <v>24</v>
      </c>
      <c r="E390" s="59" t="s">
        <v>1</v>
      </c>
      <c r="F390" s="32">
        <v>4500</v>
      </c>
      <c r="G390" s="56">
        <v>1</v>
      </c>
      <c r="H390" s="32">
        <v>4500</v>
      </c>
      <c r="I390" s="58" t="str">
        <f t="shared" ca="1" si="5"/>
        <v>MV1_EV_27MY_KO</v>
      </c>
      <c r="J390" s="65" cm="1">
        <f t="array" ref="J390">IF(D390="","",IF(
  COUNTIF($D$5:$D$571, "Infotainment system") &gt; 0,
  VLOOKUP(D390, 챕터!$F$4:$G$100, 2, FALSE),
  IF(
    SUM(COUNTIF($D$5:$D$571, {"Hybrid system overview","Electric vehicle guide","Infotainment system"})) &gt; 0,
    VLOOKUP(D390, 챕터!$D$4:$E$100, 2, FALSE),
    VLOOKUP(D390, 챕터!$B$4:$C$100, 2, FALSE)
  )
))</f>
        <v>3</v>
      </c>
      <c r="K390" s="57"/>
      <c r="L390"/>
      <c r="M390"/>
      <c r="N390" s="19"/>
      <c r="O390" s="1"/>
    </row>
    <row r="391" spans="2:15">
      <c r="B391" s="55">
        <v>387</v>
      </c>
      <c r="C391" t="s">
        <v>447</v>
      </c>
      <c r="D391" s="85" t="s">
        <v>24</v>
      </c>
      <c r="E391" s="59" t="s">
        <v>1</v>
      </c>
      <c r="F391" s="32">
        <v>4500</v>
      </c>
      <c r="G391" s="56">
        <v>1</v>
      </c>
      <c r="H391" s="32">
        <v>4500</v>
      </c>
      <c r="I391" s="58" t="str">
        <f t="shared" ref="I391:I454" ca="1" si="6">IF(D391="","",$I$5)</f>
        <v>MV1_EV_27MY_KO</v>
      </c>
      <c r="J391" s="65" cm="1">
        <f t="array" ref="J391">IF(D391="","",IF(
  COUNTIF($D$5:$D$571, "Infotainment system") &gt; 0,
  VLOOKUP(D391, 챕터!$F$4:$G$100, 2, FALSE),
  IF(
    SUM(COUNTIF($D$5:$D$571, {"Hybrid system overview","Electric vehicle guide","Infotainment system"})) &gt; 0,
    VLOOKUP(D391, 챕터!$D$4:$E$100, 2, FALSE),
    VLOOKUP(D391, 챕터!$B$4:$C$100, 2, FALSE)
  )
))</f>
        <v>3</v>
      </c>
      <c r="K391" s="57"/>
      <c r="L391"/>
      <c r="M391"/>
      <c r="N391" s="19"/>
      <c r="O391" s="1"/>
    </row>
    <row r="392" spans="2:15">
      <c r="B392" s="55">
        <v>388</v>
      </c>
      <c r="C392" t="s">
        <v>448</v>
      </c>
      <c r="D392" s="85" t="s">
        <v>24</v>
      </c>
      <c r="E392" s="59" t="s">
        <v>1</v>
      </c>
      <c r="F392" s="32">
        <v>4500</v>
      </c>
      <c r="G392" s="56">
        <v>1</v>
      </c>
      <c r="H392" s="32">
        <v>4500</v>
      </c>
      <c r="I392" s="58" t="str">
        <f t="shared" ca="1" si="6"/>
        <v>MV1_EV_27MY_KO</v>
      </c>
      <c r="J392" s="65" cm="1">
        <f t="array" ref="J392">IF(D392="","",IF(
  COUNTIF($D$5:$D$571, "Infotainment system") &gt; 0,
  VLOOKUP(D392, 챕터!$F$4:$G$100, 2, FALSE),
  IF(
    SUM(COUNTIF($D$5:$D$571, {"Hybrid system overview","Electric vehicle guide","Infotainment system"})) &gt; 0,
    VLOOKUP(D392, 챕터!$D$4:$E$100, 2, FALSE),
    VLOOKUP(D392, 챕터!$B$4:$C$100, 2, FALSE)
  )
))</f>
        <v>3</v>
      </c>
      <c r="K392" s="57"/>
      <c r="L392"/>
      <c r="M392"/>
      <c r="N392" s="19"/>
      <c r="O392" s="1"/>
    </row>
    <row r="393" spans="2:15">
      <c r="B393" s="55">
        <v>389</v>
      </c>
      <c r="C393" t="s">
        <v>449</v>
      </c>
      <c r="D393" s="85" t="s">
        <v>24</v>
      </c>
      <c r="E393" s="59" t="s">
        <v>1</v>
      </c>
      <c r="F393" s="32">
        <v>4500</v>
      </c>
      <c r="G393" s="56">
        <v>1</v>
      </c>
      <c r="H393" s="32">
        <v>4500</v>
      </c>
      <c r="I393" s="58" t="str">
        <f t="shared" ca="1" si="6"/>
        <v>MV1_EV_27MY_KO</v>
      </c>
      <c r="J393" s="65" cm="1">
        <f t="array" ref="J393">IF(D393="","",IF(
  COUNTIF($D$5:$D$571, "Infotainment system") &gt; 0,
  VLOOKUP(D393, 챕터!$F$4:$G$100, 2, FALSE),
  IF(
    SUM(COUNTIF($D$5:$D$571, {"Hybrid system overview","Electric vehicle guide","Infotainment system"})) &gt; 0,
    VLOOKUP(D393, 챕터!$D$4:$E$100, 2, FALSE),
    VLOOKUP(D393, 챕터!$B$4:$C$100, 2, FALSE)
  )
))</f>
        <v>3</v>
      </c>
      <c r="K393" s="57"/>
      <c r="L393"/>
      <c r="M393"/>
      <c r="N393" s="19"/>
      <c r="O393" s="1"/>
    </row>
    <row r="394" spans="2:15">
      <c r="B394" s="55">
        <v>390</v>
      </c>
      <c r="C394" t="s">
        <v>450</v>
      </c>
      <c r="D394" s="85" t="s">
        <v>24</v>
      </c>
      <c r="E394" s="59" t="s">
        <v>1</v>
      </c>
      <c r="F394" s="32">
        <v>4500</v>
      </c>
      <c r="G394" s="56">
        <v>1</v>
      </c>
      <c r="H394" s="32">
        <v>4500</v>
      </c>
      <c r="I394" s="58" t="str">
        <f t="shared" ca="1" si="6"/>
        <v>MV1_EV_27MY_KO</v>
      </c>
      <c r="J394" s="65" cm="1">
        <f t="array" ref="J394">IF(D394="","",IF(
  COUNTIF($D$5:$D$571, "Infotainment system") &gt; 0,
  VLOOKUP(D394, 챕터!$F$4:$G$100, 2, FALSE),
  IF(
    SUM(COUNTIF($D$5:$D$571, {"Hybrid system overview","Electric vehicle guide","Infotainment system"})) &gt; 0,
    VLOOKUP(D394, 챕터!$D$4:$E$100, 2, FALSE),
    VLOOKUP(D394, 챕터!$B$4:$C$100, 2, FALSE)
  )
))</f>
        <v>3</v>
      </c>
      <c r="K394" s="57"/>
      <c r="L394"/>
      <c r="M394"/>
      <c r="N394" s="19"/>
      <c r="O394" s="1"/>
    </row>
    <row r="395" spans="2:15">
      <c r="B395" s="55">
        <v>391</v>
      </c>
      <c r="C395" t="s">
        <v>451</v>
      </c>
      <c r="D395" s="85" t="s">
        <v>24</v>
      </c>
      <c r="E395" s="59" t="s">
        <v>1</v>
      </c>
      <c r="F395" s="32">
        <v>4500</v>
      </c>
      <c r="G395" s="56">
        <v>1</v>
      </c>
      <c r="H395" s="32">
        <v>4500</v>
      </c>
      <c r="I395" s="58" t="str">
        <f t="shared" ca="1" si="6"/>
        <v>MV1_EV_27MY_KO</v>
      </c>
      <c r="J395" s="65" cm="1">
        <f t="array" ref="J395">IF(D395="","",IF(
  COUNTIF($D$5:$D$571, "Infotainment system") &gt; 0,
  VLOOKUP(D395, 챕터!$F$4:$G$100, 2, FALSE),
  IF(
    SUM(COUNTIF($D$5:$D$571, {"Hybrid system overview","Electric vehicle guide","Infotainment system"})) &gt; 0,
    VLOOKUP(D395, 챕터!$D$4:$E$100, 2, FALSE),
    VLOOKUP(D395, 챕터!$B$4:$C$100, 2, FALSE)
  )
))</f>
        <v>3</v>
      </c>
      <c r="K395" s="57"/>
      <c r="L395"/>
      <c r="M395"/>
      <c r="N395" s="19"/>
      <c r="O395" s="1"/>
    </row>
    <row r="396" spans="2:15">
      <c r="B396" s="55">
        <v>392</v>
      </c>
      <c r="C396" t="s">
        <v>452</v>
      </c>
      <c r="D396" s="85" t="s">
        <v>24</v>
      </c>
      <c r="E396" s="59" t="s">
        <v>1</v>
      </c>
      <c r="F396" s="32">
        <v>4500</v>
      </c>
      <c r="G396" s="56">
        <v>1</v>
      </c>
      <c r="H396" s="32">
        <v>4500</v>
      </c>
      <c r="I396" s="58" t="str">
        <f t="shared" ca="1" si="6"/>
        <v>MV1_EV_27MY_KO</v>
      </c>
      <c r="J396" s="65" cm="1">
        <f t="array" ref="J396">IF(D396="","",IF(
  COUNTIF($D$5:$D$571, "Infotainment system") &gt; 0,
  VLOOKUP(D396, 챕터!$F$4:$G$100, 2, FALSE),
  IF(
    SUM(COUNTIF($D$5:$D$571, {"Hybrid system overview","Electric vehicle guide","Infotainment system"})) &gt; 0,
    VLOOKUP(D396, 챕터!$D$4:$E$100, 2, FALSE),
    VLOOKUP(D396, 챕터!$B$4:$C$100, 2, FALSE)
  )
))</f>
        <v>3</v>
      </c>
      <c r="K396" s="57"/>
      <c r="L396"/>
      <c r="M396"/>
      <c r="N396" s="19"/>
      <c r="O396" s="1"/>
    </row>
    <row r="397" spans="2:15">
      <c r="B397" s="55">
        <v>393</v>
      </c>
      <c r="C397" t="s">
        <v>453</v>
      </c>
      <c r="D397" s="85" t="s">
        <v>24</v>
      </c>
      <c r="E397" s="59" t="s">
        <v>1</v>
      </c>
      <c r="F397" s="32">
        <v>4500</v>
      </c>
      <c r="G397" s="56">
        <v>1</v>
      </c>
      <c r="H397" s="32">
        <v>4500</v>
      </c>
      <c r="I397" s="58" t="str">
        <f t="shared" ca="1" si="6"/>
        <v>MV1_EV_27MY_KO</v>
      </c>
      <c r="J397" s="65" cm="1">
        <f t="array" ref="J397">IF(D397="","",IF(
  COUNTIF($D$5:$D$571, "Infotainment system") &gt; 0,
  VLOOKUP(D397, 챕터!$F$4:$G$100, 2, FALSE),
  IF(
    SUM(COUNTIF($D$5:$D$571, {"Hybrid system overview","Electric vehicle guide","Infotainment system"})) &gt; 0,
    VLOOKUP(D397, 챕터!$D$4:$E$100, 2, FALSE),
    VLOOKUP(D397, 챕터!$B$4:$C$100, 2, FALSE)
  )
))</f>
        <v>3</v>
      </c>
      <c r="K397" s="57"/>
      <c r="L397"/>
      <c r="M397"/>
      <c r="N397" s="19"/>
      <c r="O397" s="1"/>
    </row>
    <row r="398" spans="2:15">
      <c r="B398" s="55">
        <v>394</v>
      </c>
      <c r="C398" t="s">
        <v>454</v>
      </c>
      <c r="D398" s="85" t="s">
        <v>24</v>
      </c>
      <c r="E398" s="59" t="s">
        <v>1</v>
      </c>
      <c r="F398" s="32">
        <v>4500</v>
      </c>
      <c r="G398" s="56">
        <v>1</v>
      </c>
      <c r="H398" s="32">
        <v>4500</v>
      </c>
      <c r="I398" s="58" t="str">
        <f t="shared" ca="1" si="6"/>
        <v>MV1_EV_27MY_KO</v>
      </c>
      <c r="J398" s="65" cm="1">
        <f t="array" ref="J398">IF(D398="","",IF(
  COUNTIF($D$5:$D$571, "Infotainment system") &gt; 0,
  VLOOKUP(D398, 챕터!$F$4:$G$100, 2, FALSE),
  IF(
    SUM(COUNTIF($D$5:$D$571, {"Hybrid system overview","Electric vehicle guide","Infotainment system"})) &gt; 0,
    VLOOKUP(D398, 챕터!$D$4:$E$100, 2, FALSE),
    VLOOKUP(D398, 챕터!$B$4:$C$100, 2, FALSE)
  )
))</f>
        <v>3</v>
      </c>
      <c r="K398" s="57"/>
      <c r="L398"/>
      <c r="M398"/>
      <c r="N398" s="19"/>
      <c r="O398" s="1"/>
    </row>
    <row r="399" spans="2:15">
      <c r="B399" s="55">
        <v>395</v>
      </c>
      <c r="C399" t="s">
        <v>455</v>
      </c>
      <c r="D399" s="85" t="s">
        <v>24</v>
      </c>
      <c r="E399" s="59" t="s">
        <v>1</v>
      </c>
      <c r="F399" s="32">
        <v>4500</v>
      </c>
      <c r="G399" s="56">
        <v>1</v>
      </c>
      <c r="H399" s="32">
        <v>4500</v>
      </c>
      <c r="I399" s="58" t="str">
        <f t="shared" ca="1" si="6"/>
        <v>MV1_EV_27MY_KO</v>
      </c>
      <c r="J399" s="65" cm="1">
        <f t="array" ref="J399">IF(D399="","",IF(
  COUNTIF($D$5:$D$571, "Infotainment system") &gt; 0,
  VLOOKUP(D399, 챕터!$F$4:$G$100, 2, FALSE),
  IF(
    SUM(COUNTIF($D$5:$D$571, {"Hybrid system overview","Electric vehicle guide","Infotainment system"})) &gt; 0,
    VLOOKUP(D399, 챕터!$D$4:$E$100, 2, FALSE),
    VLOOKUP(D399, 챕터!$B$4:$C$100, 2, FALSE)
  )
))</f>
        <v>3</v>
      </c>
      <c r="K399" s="57"/>
      <c r="L399"/>
      <c r="M399"/>
      <c r="N399" s="19"/>
      <c r="O399" s="1"/>
    </row>
    <row r="400" spans="2:15">
      <c r="B400" s="55">
        <v>396</v>
      </c>
      <c r="C400" t="s">
        <v>456</v>
      </c>
      <c r="D400" s="85" t="s">
        <v>24</v>
      </c>
      <c r="E400" s="59" t="s">
        <v>1</v>
      </c>
      <c r="F400" s="32">
        <v>4500</v>
      </c>
      <c r="G400" s="56">
        <v>1</v>
      </c>
      <c r="H400" s="32">
        <v>4500</v>
      </c>
      <c r="I400" s="58" t="str">
        <f t="shared" ca="1" si="6"/>
        <v>MV1_EV_27MY_KO</v>
      </c>
      <c r="J400" s="65" cm="1">
        <f t="array" ref="J400">IF(D400="","",IF(
  COUNTIF($D$5:$D$571, "Infotainment system") &gt; 0,
  VLOOKUP(D400, 챕터!$F$4:$G$100, 2, FALSE),
  IF(
    SUM(COUNTIF($D$5:$D$571, {"Hybrid system overview","Electric vehicle guide","Infotainment system"})) &gt; 0,
    VLOOKUP(D400, 챕터!$D$4:$E$100, 2, FALSE),
    VLOOKUP(D400, 챕터!$B$4:$C$100, 2, FALSE)
  )
))</f>
        <v>3</v>
      </c>
      <c r="K400" s="57"/>
      <c r="L400"/>
      <c r="M400"/>
      <c r="N400" s="19"/>
      <c r="O400" s="1"/>
    </row>
    <row r="401" spans="2:15">
      <c r="B401" s="55">
        <v>397</v>
      </c>
      <c r="C401" t="s">
        <v>457</v>
      </c>
      <c r="D401" s="85" t="s">
        <v>24</v>
      </c>
      <c r="E401" s="59" t="s">
        <v>1</v>
      </c>
      <c r="F401" s="32">
        <v>4500</v>
      </c>
      <c r="G401" s="56">
        <v>1</v>
      </c>
      <c r="H401" s="32">
        <v>4500</v>
      </c>
      <c r="I401" s="58" t="str">
        <f t="shared" ca="1" si="6"/>
        <v>MV1_EV_27MY_KO</v>
      </c>
      <c r="J401" s="65" cm="1">
        <f t="array" ref="J401">IF(D401="","",IF(
  COUNTIF($D$5:$D$571, "Infotainment system") &gt; 0,
  VLOOKUP(D401, 챕터!$F$4:$G$100, 2, FALSE),
  IF(
    SUM(COUNTIF($D$5:$D$571, {"Hybrid system overview","Electric vehicle guide","Infotainment system"})) &gt; 0,
    VLOOKUP(D401, 챕터!$D$4:$E$100, 2, FALSE),
    VLOOKUP(D401, 챕터!$B$4:$C$100, 2, FALSE)
  )
))</f>
        <v>3</v>
      </c>
      <c r="K401" s="57"/>
      <c r="L401"/>
      <c r="M401"/>
      <c r="N401" s="19"/>
      <c r="O401" s="1"/>
    </row>
    <row r="402" spans="2:15">
      <c r="B402" s="55">
        <v>398</v>
      </c>
      <c r="C402" t="s">
        <v>458</v>
      </c>
      <c r="D402" s="85" t="s">
        <v>24</v>
      </c>
      <c r="E402" s="59" t="s">
        <v>1</v>
      </c>
      <c r="F402" s="32">
        <v>4500</v>
      </c>
      <c r="G402" s="56">
        <v>1</v>
      </c>
      <c r="H402" s="32">
        <v>4500</v>
      </c>
      <c r="I402" s="58" t="str">
        <f t="shared" ca="1" si="6"/>
        <v>MV1_EV_27MY_KO</v>
      </c>
      <c r="J402" s="65" cm="1">
        <f t="array" ref="J402">IF(D402="","",IF(
  COUNTIF($D$5:$D$571, "Infotainment system") &gt; 0,
  VLOOKUP(D402, 챕터!$F$4:$G$100, 2, FALSE),
  IF(
    SUM(COUNTIF($D$5:$D$571, {"Hybrid system overview","Electric vehicle guide","Infotainment system"})) &gt; 0,
    VLOOKUP(D402, 챕터!$D$4:$E$100, 2, FALSE),
    VLOOKUP(D402, 챕터!$B$4:$C$100, 2, FALSE)
  )
))</f>
        <v>3</v>
      </c>
      <c r="K402" s="57"/>
      <c r="L402"/>
      <c r="M402"/>
      <c r="N402" s="19"/>
      <c r="O402" s="1"/>
    </row>
    <row r="403" spans="2:15">
      <c r="B403" s="55">
        <v>399</v>
      </c>
      <c r="C403" t="s">
        <v>459</v>
      </c>
      <c r="D403" s="85" t="s">
        <v>24</v>
      </c>
      <c r="E403" s="59" t="s">
        <v>1</v>
      </c>
      <c r="F403" s="32">
        <v>4500</v>
      </c>
      <c r="G403" s="56">
        <v>1</v>
      </c>
      <c r="H403" s="32">
        <v>4500</v>
      </c>
      <c r="I403" s="58" t="str">
        <f t="shared" ca="1" si="6"/>
        <v>MV1_EV_27MY_KO</v>
      </c>
      <c r="J403" s="65" cm="1">
        <f t="array" ref="J403">IF(D403="","",IF(
  COUNTIF($D$5:$D$571, "Infotainment system") &gt; 0,
  VLOOKUP(D403, 챕터!$F$4:$G$100, 2, FALSE),
  IF(
    SUM(COUNTIF($D$5:$D$571, {"Hybrid system overview","Electric vehicle guide","Infotainment system"})) &gt; 0,
    VLOOKUP(D403, 챕터!$D$4:$E$100, 2, FALSE),
    VLOOKUP(D403, 챕터!$B$4:$C$100, 2, FALSE)
  )
))</f>
        <v>3</v>
      </c>
      <c r="K403" s="57"/>
      <c r="L403"/>
      <c r="M403"/>
      <c r="N403" s="19"/>
      <c r="O403" s="1"/>
    </row>
    <row r="404" spans="2:15">
      <c r="B404" s="55">
        <v>400</v>
      </c>
      <c r="C404" t="s">
        <v>460</v>
      </c>
      <c r="D404" s="85" t="s">
        <v>24</v>
      </c>
      <c r="E404" s="59" t="s">
        <v>1</v>
      </c>
      <c r="F404" s="32">
        <v>4500</v>
      </c>
      <c r="G404" s="56">
        <v>1</v>
      </c>
      <c r="H404" s="32">
        <v>4500</v>
      </c>
      <c r="I404" s="58" t="str">
        <f t="shared" ca="1" si="6"/>
        <v>MV1_EV_27MY_KO</v>
      </c>
      <c r="J404" s="65" cm="1">
        <f t="array" ref="J404">IF(D404="","",IF(
  COUNTIF($D$5:$D$571, "Infotainment system") &gt; 0,
  VLOOKUP(D404, 챕터!$F$4:$G$100, 2, FALSE),
  IF(
    SUM(COUNTIF($D$5:$D$571, {"Hybrid system overview","Electric vehicle guide","Infotainment system"})) &gt; 0,
    VLOOKUP(D404, 챕터!$D$4:$E$100, 2, FALSE),
    VLOOKUP(D404, 챕터!$B$4:$C$100, 2, FALSE)
  )
))</f>
        <v>3</v>
      </c>
      <c r="K404" s="57"/>
      <c r="L404"/>
      <c r="M404"/>
      <c r="N404" s="19"/>
      <c r="O404" s="1"/>
    </row>
    <row r="405" spans="2:15">
      <c r="B405" s="55">
        <v>401</v>
      </c>
      <c r="C405" t="s">
        <v>461</v>
      </c>
      <c r="D405" s="85" t="s">
        <v>24</v>
      </c>
      <c r="E405" s="59" t="s">
        <v>1</v>
      </c>
      <c r="F405" s="32">
        <v>4500</v>
      </c>
      <c r="G405" s="56">
        <v>1</v>
      </c>
      <c r="H405" s="32">
        <v>4500</v>
      </c>
      <c r="I405" s="58" t="str">
        <f t="shared" ca="1" si="6"/>
        <v>MV1_EV_27MY_KO</v>
      </c>
      <c r="J405" s="65" cm="1">
        <f t="array" ref="J405">IF(D405="","",IF(
  COUNTIF($D$5:$D$571, "Infotainment system") &gt; 0,
  VLOOKUP(D405, 챕터!$F$4:$G$100, 2, FALSE),
  IF(
    SUM(COUNTIF($D$5:$D$571, {"Hybrid system overview","Electric vehicle guide","Infotainment system"})) &gt; 0,
    VLOOKUP(D405, 챕터!$D$4:$E$100, 2, FALSE),
    VLOOKUP(D405, 챕터!$B$4:$C$100, 2, FALSE)
  )
))</f>
        <v>3</v>
      </c>
      <c r="K405" s="57"/>
      <c r="L405"/>
      <c r="M405"/>
      <c r="N405" s="19"/>
      <c r="O405" s="1"/>
    </row>
    <row r="406" spans="2:15">
      <c r="B406" s="55">
        <v>402</v>
      </c>
      <c r="C406" t="s">
        <v>462</v>
      </c>
      <c r="D406" s="85" t="s">
        <v>24</v>
      </c>
      <c r="E406" s="59" t="s">
        <v>1</v>
      </c>
      <c r="F406" s="32">
        <v>4500</v>
      </c>
      <c r="G406" s="56">
        <v>1</v>
      </c>
      <c r="H406" s="32">
        <v>4500</v>
      </c>
      <c r="I406" s="58" t="str">
        <f t="shared" ca="1" si="6"/>
        <v>MV1_EV_27MY_KO</v>
      </c>
      <c r="J406" s="65" cm="1">
        <f t="array" ref="J406">IF(D406="","",IF(
  COUNTIF($D$5:$D$571, "Infotainment system") &gt; 0,
  VLOOKUP(D406, 챕터!$F$4:$G$100, 2, FALSE),
  IF(
    SUM(COUNTIF($D$5:$D$571, {"Hybrid system overview","Electric vehicle guide","Infotainment system"})) &gt; 0,
    VLOOKUP(D406, 챕터!$D$4:$E$100, 2, FALSE),
    VLOOKUP(D406, 챕터!$B$4:$C$100, 2, FALSE)
  )
))</f>
        <v>3</v>
      </c>
      <c r="K406" s="57"/>
      <c r="L406"/>
      <c r="M406"/>
      <c r="N406" s="19"/>
      <c r="O406" s="1"/>
    </row>
    <row r="407" spans="2:15">
      <c r="B407" s="55">
        <v>403</v>
      </c>
      <c r="C407" t="s">
        <v>463</v>
      </c>
      <c r="D407" s="85" t="s">
        <v>24</v>
      </c>
      <c r="E407" s="59" t="s">
        <v>1</v>
      </c>
      <c r="F407" s="32">
        <v>4500</v>
      </c>
      <c r="G407" s="56">
        <v>1</v>
      </c>
      <c r="H407" s="32">
        <v>4500</v>
      </c>
      <c r="I407" s="58" t="str">
        <f t="shared" ca="1" si="6"/>
        <v>MV1_EV_27MY_KO</v>
      </c>
      <c r="J407" s="65" cm="1">
        <f t="array" ref="J407">IF(D407="","",IF(
  COUNTIF($D$5:$D$571, "Infotainment system") &gt; 0,
  VLOOKUP(D407, 챕터!$F$4:$G$100, 2, FALSE),
  IF(
    SUM(COUNTIF($D$5:$D$571, {"Hybrid system overview","Electric vehicle guide","Infotainment system"})) &gt; 0,
    VLOOKUP(D407, 챕터!$D$4:$E$100, 2, FALSE),
    VLOOKUP(D407, 챕터!$B$4:$C$100, 2, FALSE)
  )
))</f>
        <v>3</v>
      </c>
      <c r="K407" s="57"/>
      <c r="L407"/>
      <c r="M407"/>
      <c r="N407" s="19"/>
      <c r="O407" s="1"/>
    </row>
    <row r="408" spans="2:15">
      <c r="B408" s="55">
        <v>404</v>
      </c>
      <c r="C408" t="s">
        <v>464</v>
      </c>
      <c r="D408" s="85" t="s">
        <v>24</v>
      </c>
      <c r="E408" s="59" t="s">
        <v>1</v>
      </c>
      <c r="F408" s="32">
        <v>4500</v>
      </c>
      <c r="G408" s="56">
        <v>1</v>
      </c>
      <c r="H408" s="32">
        <v>4500</v>
      </c>
      <c r="I408" s="58" t="str">
        <f t="shared" ca="1" si="6"/>
        <v>MV1_EV_27MY_KO</v>
      </c>
      <c r="J408" s="65" cm="1">
        <f t="array" ref="J408">IF(D408="","",IF(
  COUNTIF($D$5:$D$571, "Infotainment system") &gt; 0,
  VLOOKUP(D408, 챕터!$F$4:$G$100, 2, FALSE),
  IF(
    SUM(COUNTIF($D$5:$D$571, {"Hybrid system overview","Electric vehicle guide","Infotainment system"})) &gt; 0,
    VLOOKUP(D408, 챕터!$D$4:$E$100, 2, FALSE),
    VLOOKUP(D408, 챕터!$B$4:$C$100, 2, FALSE)
  )
))</f>
        <v>3</v>
      </c>
      <c r="K408" s="57"/>
      <c r="L408"/>
      <c r="M408"/>
      <c r="N408" s="19"/>
      <c r="O408" s="1"/>
    </row>
    <row r="409" spans="2:15">
      <c r="B409" s="55">
        <v>405</v>
      </c>
      <c r="C409" t="s">
        <v>465</v>
      </c>
      <c r="D409" s="85" t="s">
        <v>24</v>
      </c>
      <c r="E409" s="59" t="s">
        <v>1</v>
      </c>
      <c r="F409" s="32">
        <v>4500</v>
      </c>
      <c r="G409" s="56">
        <v>1</v>
      </c>
      <c r="H409" s="32">
        <v>4500</v>
      </c>
      <c r="I409" s="58" t="str">
        <f t="shared" ca="1" si="6"/>
        <v>MV1_EV_27MY_KO</v>
      </c>
      <c r="J409" s="65" cm="1">
        <f t="array" ref="J409">IF(D409="","",IF(
  COUNTIF($D$5:$D$571, "Infotainment system") &gt; 0,
  VLOOKUP(D409, 챕터!$F$4:$G$100, 2, FALSE),
  IF(
    SUM(COUNTIF($D$5:$D$571, {"Hybrid system overview","Electric vehicle guide","Infotainment system"})) &gt; 0,
    VLOOKUP(D409, 챕터!$D$4:$E$100, 2, FALSE),
    VLOOKUP(D409, 챕터!$B$4:$C$100, 2, FALSE)
  )
))</f>
        <v>3</v>
      </c>
      <c r="K409" s="57"/>
      <c r="L409"/>
      <c r="M409"/>
      <c r="N409" s="19"/>
      <c r="O409" s="1"/>
    </row>
    <row r="410" spans="2:15">
      <c r="B410" s="55">
        <v>406</v>
      </c>
      <c r="C410" t="s">
        <v>466</v>
      </c>
      <c r="D410" s="85" t="s">
        <v>24</v>
      </c>
      <c r="E410" s="59" t="s">
        <v>1</v>
      </c>
      <c r="F410" s="32">
        <v>4500</v>
      </c>
      <c r="G410" s="56">
        <v>1</v>
      </c>
      <c r="H410" s="32">
        <v>4500</v>
      </c>
      <c r="I410" s="58" t="str">
        <f t="shared" ca="1" si="6"/>
        <v>MV1_EV_27MY_KO</v>
      </c>
      <c r="J410" s="65" cm="1">
        <f t="array" ref="J410">IF(D410="","",IF(
  COUNTIF($D$5:$D$571, "Infotainment system") &gt; 0,
  VLOOKUP(D410, 챕터!$F$4:$G$100, 2, FALSE),
  IF(
    SUM(COUNTIF($D$5:$D$571, {"Hybrid system overview","Electric vehicle guide","Infotainment system"})) &gt; 0,
    VLOOKUP(D410, 챕터!$D$4:$E$100, 2, FALSE),
    VLOOKUP(D410, 챕터!$B$4:$C$100, 2, FALSE)
  )
))</f>
        <v>3</v>
      </c>
      <c r="K410" s="57"/>
      <c r="L410"/>
      <c r="M410"/>
      <c r="N410" s="19"/>
      <c r="O410" s="1"/>
    </row>
    <row r="411" spans="2:15">
      <c r="B411" s="55">
        <v>407</v>
      </c>
      <c r="C411" t="s">
        <v>467</v>
      </c>
      <c r="D411" s="85" t="s">
        <v>24</v>
      </c>
      <c r="E411" s="59" t="s">
        <v>1</v>
      </c>
      <c r="F411" s="32">
        <v>4500</v>
      </c>
      <c r="G411" s="56">
        <v>1</v>
      </c>
      <c r="H411" s="32">
        <v>4500</v>
      </c>
      <c r="I411" s="58" t="str">
        <f t="shared" ca="1" si="6"/>
        <v>MV1_EV_27MY_KO</v>
      </c>
      <c r="J411" s="65" cm="1">
        <f t="array" ref="J411">IF(D411="","",IF(
  COUNTIF($D$5:$D$571, "Infotainment system") &gt; 0,
  VLOOKUP(D411, 챕터!$F$4:$G$100, 2, FALSE),
  IF(
    SUM(COUNTIF($D$5:$D$571, {"Hybrid system overview","Electric vehicle guide","Infotainment system"})) &gt; 0,
    VLOOKUP(D411, 챕터!$D$4:$E$100, 2, FALSE),
    VLOOKUP(D411, 챕터!$B$4:$C$100, 2, FALSE)
  )
))</f>
        <v>3</v>
      </c>
      <c r="K411" s="57"/>
      <c r="L411"/>
      <c r="M411"/>
      <c r="N411" s="19"/>
      <c r="O411" s="1"/>
    </row>
    <row r="412" spans="2:15">
      <c r="B412" s="55">
        <v>408</v>
      </c>
      <c r="C412" t="s">
        <v>468</v>
      </c>
      <c r="D412" s="85" t="s">
        <v>24</v>
      </c>
      <c r="E412" s="59" t="s">
        <v>1</v>
      </c>
      <c r="F412" s="32">
        <v>4500</v>
      </c>
      <c r="G412" s="56">
        <v>1</v>
      </c>
      <c r="H412" s="32">
        <v>4500</v>
      </c>
      <c r="I412" s="58" t="str">
        <f t="shared" ca="1" si="6"/>
        <v>MV1_EV_27MY_KO</v>
      </c>
      <c r="J412" s="65" cm="1">
        <f t="array" ref="J412">IF(D412="","",IF(
  COUNTIF($D$5:$D$571, "Infotainment system") &gt; 0,
  VLOOKUP(D412, 챕터!$F$4:$G$100, 2, FALSE),
  IF(
    SUM(COUNTIF($D$5:$D$571, {"Hybrid system overview","Electric vehicle guide","Infotainment system"})) &gt; 0,
    VLOOKUP(D412, 챕터!$D$4:$E$100, 2, FALSE),
    VLOOKUP(D412, 챕터!$B$4:$C$100, 2, FALSE)
  )
))</f>
        <v>3</v>
      </c>
      <c r="K412" s="57"/>
      <c r="L412"/>
      <c r="M412"/>
      <c r="N412" s="19"/>
      <c r="O412" s="1"/>
    </row>
    <row r="413" spans="2:15">
      <c r="B413" s="55">
        <v>409</v>
      </c>
      <c r="C413" t="s">
        <v>469</v>
      </c>
      <c r="D413" s="85" t="s">
        <v>24</v>
      </c>
      <c r="E413" s="59" t="s">
        <v>1</v>
      </c>
      <c r="F413" s="32">
        <v>4500</v>
      </c>
      <c r="G413" s="56">
        <v>1</v>
      </c>
      <c r="H413" s="32">
        <v>4500</v>
      </c>
      <c r="I413" s="58" t="str">
        <f t="shared" ca="1" si="6"/>
        <v>MV1_EV_27MY_KO</v>
      </c>
      <c r="J413" s="65" cm="1">
        <f t="array" ref="J413">IF(D413="","",IF(
  COUNTIF($D$5:$D$571, "Infotainment system") &gt; 0,
  VLOOKUP(D413, 챕터!$F$4:$G$100, 2, FALSE),
  IF(
    SUM(COUNTIF($D$5:$D$571, {"Hybrid system overview","Electric vehicle guide","Infotainment system"})) &gt; 0,
    VLOOKUP(D413, 챕터!$D$4:$E$100, 2, FALSE),
    VLOOKUP(D413, 챕터!$B$4:$C$100, 2, FALSE)
  )
))</f>
        <v>3</v>
      </c>
      <c r="K413" s="57"/>
      <c r="L413"/>
      <c r="M413"/>
      <c r="N413" s="19"/>
      <c r="O413" s="1"/>
    </row>
    <row r="414" spans="2:15">
      <c r="B414" s="55">
        <v>410</v>
      </c>
      <c r="C414" t="s">
        <v>470</v>
      </c>
      <c r="D414" s="85" t="s">
        <v>24</v>
      </c>
      <c r="E414" s="59" t="s">
        <v>1</v>
      </c>
      <c r="F414" s="32">
        <v>4500</v>
      </c>
      <c r="G414" s="56">
        <v>1</v>
      </c>
      <c r="H414" s="32">
        <v>4500</v>
      </c>
      <c r="I414" s="58" t="str">
        <f t="shared" ca="1" si="6"/>
        <v>MV1_EV_27MY_KO</v>
      </c>
      <c r="J414" s="65" cm="1">
        <f t="array" ref="J414">IF(D414="","",IF(
  COUNTIF($D$5:$D$571, "Infotainment system") &gt; 0,
  VLOOKUP(D414, 챕터!$F$4:$G$100, 2, FALSE),
  IF(
    SUM(COUNTIF($D$5:$D$571, {"Hybrid system overview","Electric vehicle guide","Infotainment system"})) &gt; 0,
    VLOOKUP(D414, 챕터!$D$4:$E$100, 2, FALSE),
    VLOOKUP(D414, 챕터!$B$4:$C$100, 2, FALSE)
  )
))</f>
        <v>3</v>
      </c>
      <c r="K414" s="57"/>
      <c r="L414"/>
      <c r="M414"/>
      <c r="N414" s="19"/>
      <c r="O414" s="1"/>
    </row>
    <row r="415" spans="2:15">
      <c r="B415" s="55">
        <v>411</v>
      </c>
      <c r="C415" t="s">
        <v>471</v>
      </c>
      <c r="D415" s="85" t="s">
        <v>24</v>
      </c>
      <c r="E415" s="59" t="s">
        <v>1</v>
      </c>
      <c r="F415" s="32">
        <v>4500</v>
      </c>
      <c r="G415" s="56">
        <v>1</v>
      </c>
      <c r="H415" s="32">
        <v>4500</v>
      </c>
      <c r="I415" s="58" t="str">
        <f t="shared" ca="1" si="6"/>
        <v>MV1_EV_27MY_KO</v>
      </c>
      <c r="J415" s="65" cm="1">
        <f t="array" ref="J415">IF(D415="","",IF(
  COUNTIF($D$5:$D$571, "Infotainment system") &gt; 0,
  VLOOKUP(D415, 챕터!$F$4:$G$100, 2, FALSE),
  IF(
    SUM(COUNTIF($D$5:$D$571, {"Hybrid system overview","Electric vehicle guide","Infotainment system"})) &gt; 0,
    VLOOKUP(D415, 챕터!$D$4:$E$100, 2, FALSE),
    VLOOKUP(D415, 챕터!$B$4:$C$100, 2, FALSE)
  )
))</f>
        <v>3</v>
      </c>
      <c r="K415" s="57"/>
      <c r="L415"/>
      <c r="M415"/>
      <c r="N415" s="19"/>
      <c r="O415" s="1"/>
    </row>
    <row r="416" spans="2:15">
      <c r="B416" s="55">
        <v>412</v>
      </c>
      <c r="C416" t="s">
        <v>472</v>
      </c>
      <c r="D416" s="85" t="s">
        <v>24</v>
      </c>
      <c r="E416" s="59" t="s">
        <v>1</v>
      </c>
      <c r="F416" s="32">
        <v>4500</v>
      </c>
      <c r="G416" s="56">
        <v>1</v>
      </c>
      <c r="H416" s="32">
        <v>4500</v>
      </c>
      <c r="I416" s="58" t="str">
        <f t="shared" ca="1" si="6"/>
        <v>MV1_EV_27MY_KO</v>
      </c>
      <c r="J416" s="65" cm="1">
        <f t="array" ref="J416">IF(D416="","",IF(
  COUNTIF($D$5:$D$571, "Infotainment system") &gt; 0,
  VLOOKUP(D416, 챕터!$F$4:$G$100, 2, FALSE),
  IF(
    SUM(COUNTIF($D$5:$D$571, {"Hybrid system overview","Electric vehicle guide","Infotainment system"})) &gt; 0,
    VLOOKUP(D416, 챕터!$D$4:$E$100, 2, FALSE),
    VLOOKUP(D416, 챕터!$B$4:$C$100, 2, FALSE)
  )
))</f>
        <v>3</v>
      </c>
      <c r="K416" s="57"/>
      <c r="L416"/>
      <c r="M416"/>
      <c r="N416" s="19"/>
      <c r="O416" s="1"/>
    </row>
    <row r="417" spans="2:15">
      <c r="B417" s="55">
        <v>413</v>
      </c>
      <c r="C417" t="s">
        <v>473</v>
      </c>
      <c r="D417" s="85" t="s">
        <v>24</v>
      </c>
      <c r="E417" s="59" t="s">
        <v>1</v>
      </c>
      <c r="F417" s="32">
        <v>4500</v>
      </c>
      <c r="G417" s="56">
        <v>1</v>
      </c>
      <c r="H417" s="32">
        <v>4500</v>
      </c>
      <c r="I417" s="58" t="str">
        <f t="shared" ca="1" si="6"/>
        <v>MV1_EV_27MY_KO</v>
      </c>
      <c r="J417" s="65" cm="1">
        <f t="array" ref="J417">IF(D417="","",IF(
  COUNTIF($D$5:$D$571, "Infotainment system") &gt; 0,
  VLOOKUP(D417, 챕터!$F$4:$G$100, 2, FALSE),
  IF(
    SUM(COUNTIF($D$5:$D$571, {"Hybrid system overview","Electric vehicle guide","Infotainment system"})) &gt; 0,
    VLOOKUP(D417, 챕터!$D$4:$E$100, 2, FALSE),
    VLOOKUP(D417, 챕터!$B$4:$C$100, 2, FALSE)
  )
))</f>
        <v>3</v>
      </c>
      <c r="K417" s="57"/>
      <c r="L417"/>
      <c r="M417"/>
      <c r="N417" s="19"/>
      <c r="O417" s="1"/>
    </row>
    <row r="418" spans="2:15">
      <c r="B418" s="55">
        <v>414</v>
      </c>
      <c r="C418" t="s">
        <v>474</v>
      </c>
      <c r="D418" s="85" t="s">
        <v>24</v>
      </c>
      <c r="E418" s="59" t="s">
        <v>1</v>
      </c>
      <c r="F418" s="32">
        <v>4500</v>
      </c>
      <c r="G418" s="56">
        <v>1</v>
      </c>
      <c r="H418" s="32">
        <v>4500</v>
      </c>
      <c r="I418" s="58" t="str">
        <f t="shared" ca="1" si="6"/>
        <v>MV1_EV_27MY_KO</v>
      </c>
      <c r="J418" s="65" cm="1">
        <f t="array" ref="J418">IF(D418="","",IF(
  COUNTIF($D$5:$D$571, "Infotainment system") &gt; 0,
  VLOOKUP(D418, 챕터!$F$4:$G$100, 2, FALSE),
  IF(
    SUM(COUNTIF($D$5:$D$571, {"Hybrid system overview","Electric vehicle guide","Infotainment system"})) &gt; 0,
    VLOOKUP(D418, 챕터!$D$4:$E$100, 2, FALSE),
    VLOOKUP(D418, 챕터!$B$4:$C$100, 2, FALSE)
  )
))</f>
        <v>3</v>
      </c>
      <c r="K418" s="57"/>
      <c r="L418"/>
      <c r="M418"/>
      <c r="N418" s="19"/>
      <c r="O418" s="1"/>
    </row>
    <row r="419" spans="2:15">
      <c r="B419" s="55">
        <v>415</v>
      </c>
      <c r="C419" t="s">
        <v>475</v>
      </c>
      <c r="D419" s="85" t="s">
        <v>25</v>
      </c>
      <c r="E419" s="59" t="s">
        <v>1</v>
      </c>
      <c r="F419" s="32">
        <v>4500</v>
      </c>
      <c r="G419" s="56">
        <v>1</v>
      </c>
      <c r="H419" s="32">
        <v>4500</v>
      </c>
      <c r="I419" s="58" t="str">
        <f t="shared" ca="1" si="6"/>
        <v>MV1_EV_27MY_KO</v>
      </c>
      <c r="J419" s="65" cm="1">
        <f t="array" ref="J419">IF(D419="","",IF(
  COUNTIF($D$5:$D$571, "Infotainment system") &gt; 0,
  VLOOKUP(D419, 챕터!$F$4:$G$100, 2, FALSE),
  IF(
    SUM(COUNTIF($D$5:$D$571, {"Hybrid system overview","Electric vehicle guide","Infotainment system"})) &gt; 0,
    VLOOKUP(D419, 챕터!$D$4:$E$100, 2, FALSE),
    VLOOKUP(D419, 챕터!$B$4:$C$100, 2, FALSE)
  )
))</f>
        <v>4</v>
      </c>
      <c r="K419" s="57"/>
      <c r="L419"/>
      <c r="M419"/>
      <c r="N419" s="19"/>
      <c r="O419" s="1"/>
    </row>
    <row r="420" spans="2:15">
      <c r="B420" s="55">
        <v>416</v>
      </c>
      <c r="C420" t="s">
        <v>476</v>
      </c>
      <c r="D420" s="85" t="s">
        <v>25</v>
      </c>
      <c r="E420" s="59" t="s">
        <v>1</v>
      </c>
      <c r="F420" s="32">
        <v>4500</v>
      </c>
      <c r="G420" s="56">
        <v>1</v>
      </c>
      <c r="H420" s="32">
        <v>4500</v>
      </c>
      <c r="I420" s="58" t="str">
        <f t="shared" ca="1" si="6"/>
        <v>MV1_EV_27MY_KO</v>
      </c>
      <c r="J420" s="65" cm="1">
        <f t="array" ref="J420">IF(D420="","",IF(
  COUNTIF($D$5:$D$571, "Infotainment system") &gt; 0,
  VLOOKUP(D420, 챕터!$F$4:$G$100, 2, FALSE),
  IF(
    SUM(COUNTIF($D$5:$D$571, {"Hybrid system overview","Electric vehicle guide","Infotainment system"})) &gt; 0,
    VLOOKUP(D420, 챕터!$D$4:$E$100, 2, FALSE),
    VLOOKUP(D420, 챕터!$B$4:$C$100, 2, FALSE)
  )
))</f>
        <v>4</v>
      </c>
      <c r="K420" s="57"/>
      <c r="L420"/>
      <c r="M420"/>
      <c r="N420" s="19"/>
      <c r="O420" s="1"/>
    </row>
    <row r="421" spans="2:15">
      <c r="B421" s="55">
        <v>417</v>
      </c>
      <c r="C421" t="s">
        <v>477</v>
      </c>
      <c r="D421" s="85" t="s">
        <v>25</v>
      </c>
      <c r="E421" s="59" t="s">
        <v>1</v>
      </c>
      <c r="F421" s="32">
        <v>4500</v>
      </c>
      <c r="G421" s="56">
        <v>1</v>
      </c>
      <c r="H421" s="32">
        <v>4500</v>
      </c>
      <c r="I421" s="58" t="str">
        <f t="shared" ca="1" si="6"/>
        <v>MV1_EV_27MY_KO</v>
      </c>
      <c r="J421" s="65" cm="1">
        <f t="array" ref="J421">IF(D421="","",IF(
  COUNTIF($D$5:$D$571, "Infotainment system") &gt; 0,
  VLOOKUP(D421, 챕터!$F$4:$G$100, 2, FALSE),
  IF(
    SUM(COUNTIF($D$5:$D$571, {"Hybrid system overview","Electric vehicle guide","Infotainment system"})) &gt; 0,
    VLOOKUP(D421, 챕터!$D$4:$E$100, 2, FALSE),
    VLOOKUP(D421, 챕터!$B$4:$C$100, 2, FALSE)
  )
))</f>
        <v>4</v>
      </c>
      <c r="K421" s="57"/>
      <c r="L421"/>
      <c r="M421"/>
      <c r="N421" s="19"/>
      <c r="O421" s="1"/>
    </row>
    <row r="422" spans="2:15">
      <c r="B422" s="55">
        <v>418</v>
      </c>
      <c r="C422" t="s">
        <v>478</v>
      </c>
      <c r="D422" s="85" t="s">
        <v>25</v>
      </c>
      <c r="E422" s="59" t="s">
        <v>1</v>
      </c>
      <c r="F422" s="32">
        <v>4500</v>
      </c>
      <c r="G422" s="56">
        <v>1</v>
      </c>
      <c r="H422" s="32">
        <v>4500</v>
      </c>
      <c r="I422" s="58" t="str">
        <f t="shared" ca="1" si="6"/>
        <v>MV1_EV_27MY_KO</v>
      </c>
      <c r="J422" s="65" cm="1">
        <f t="array" ref="J422">IF(D422="","",IF(
  COUNTIF($D$5:$D$571, "Infotainment system") &gt; 0,
  VLOOKUP(D422, 챕터!$F$4:$G$100, 2, FALSE),
  IF(
    SUM(COUNTIF($D$5:$D$571, {"Hybrid system overview","Electric vehicle guide","Infotainment system"})) &gt; 0,
    VLOOKUP(D422, 챕터!$D$4:$E$100, 2, FALSE),
    VLOOKUP(D422, 챕터!$B$4:$C$100, 2, FALSE)
  )
))</f>
        <v>4</v>
      </c>
      <c r="K422" s="57"/>
      <c r="L422"/>
      <c r="M422"/>
      <c r="N422" s="19"/>
      <c r="O422" s="1"/>
    </row>
    <row r="423" spans="2:15">
      <c r="B423" s="55">
        <v>419</v>
      </c>
      <c r="C423" t="s">
        <v>479</v>
      </c>
      <c r="D423" s="85" t="s">
        <v>25</v>
      </c>
      <c r="E423" s="59" t="s">
        <v>1</v>
      </c>
      <c r="F423" s="32">
        <v>4500</v>
      </c>
      <c r="G423" s="56">
        <v>1</v>
      </c>
      <c r="H423" s="32">
        <v>4500</v>
      </c>
      <c r="I423" s="58" t="str">
        <f t="shared" ca="1" si="6"/>
        <v>MV1_EV_27MY_KO</v>
      </c>
      <c r="J423" s="65" cm="1">
        <f t="array" ref="J423">IF(D423="","",IF(
  COUNTIF($D$5:$D$571, "Infotainment system") &gt; 0,
  VLOOKUP(D423, 챕터!$F$4:$G$100, 2, FALSE),
  IF(
    SUM(COUNTIF($D$5:$D$571, {"Hybrid system overview","Electric vehicle guide","Infotainment system"})) &gt; 0,
    VLOOKUP(D423, 챕터!$D$4:$E$100, 2, FALSE),
    VLOOKUP(D423, 챕터!$B$4:$C$100, 2, FALSE)
  )
))</f>
        <v>4</v>
      </c>
      <c r="K423" s="57"/>
      <c r="L423"/>
      <c r="M423"/>
      <c r="N423" s="19"/>
      <c r="O423" s="1"/>
    </row>
    <row r="424" spans="2:15">
      <c r="B424" s="55">
        <v>420</v>
      </c>
      <c r="C424" t="s">
        <v>480</v>
      </c>
      <c r="D424" s="85" t="s">
        <v>25</v>
      </c>
      <c r="E424" s="59" t="s">
        <v>1</v>
      </c>
      <c r="F424" s="32">
        <v>4500</v>
      </c>
      <c r="G424" s="56">
        <v>1</v>
      </c>
      <c r="H424" s="32">
        <v>4500</v>
      </c>
      <c r="I424" s="58" t="str">
        <f t="shared" ca="1" si="6"/>
        <v>MV1_EV_27MY_KO</v>
      </c>
      <c r="J424" s="65" cm="1">
        <f t="array" ref="J424">IF(D424="","",IF(
  COUNTIF($D$5:$D$571, "Infotainment system") &gt; 0,
  VLOOKUP(D424, 챕터!$F$4:$G$100, 2, FALSE),
  IF(
    SUM(COUNTIF($D$5:$D$571, {"Hybrid system overview","Electric vehicle guide","Infotainment system"})) &gt; 0,
    VLOOKUP(D424, 챕터!$D$4:$E$100, 2, FALSE),
    VLOOKUP(D424, 챕터!$B$4:$C$100, 2, FALSE)
  )
))</f>
        <v>4</v>
      </c>
      <c r="K424" s="57"/>
      <c r="L424"/>
      <c r="M424"/>
      <c r="N424" s="19"/>
      <c r="O424" s="1"/>
    </row>
    <row r="425" spans="2:15">
      <c r="B425" s="55">
        <v>421</v>
      </c>
      <c r="C425" t="s">
        <v>481</v>
      </c>
      <c r="D425" s="85" t="s">
        <v>25</v>
      </c>
      <c r="E425" s="59" t="s">
        <v>1</v>
      </c>
      <c r="F425" s="32">
        <v>4500</v>
      </c>
      <c r="G425" s="56">
        <v>1</v>
      </c>
      <c r="H425" s="32">
        <v>4500</v>
      </c>
      <c r="I425" s="58" t="str">
        <f t="shared" ca="1" si="6"/>
        <v>MV1_EV_27MY_KO</v>
      </c>
      <c r="J425" s="65" cm="1">
        <f t="array" ref="J425">IF(D425="","",IF(
  COUNTIF($D$5:$D$571, "Infotainment system") &gt; 0,
  VLOOKUP(D425, 챕터!$F$4:$G$100, 2, FALSE),
  IF(
    SUM(COUNTIF($D$5:$D$571, {"Hybrid system overview","Electric vehicle guide","Infotainment system"})) &gt; 0,
    VLOOKUP(D425, 챕터!$D$4:$E$100, 2, FALSE),
    VLOOKUP(D425, 챕터!$B$4:$C$100, 2, FALSE)
  )
))</f>
        <v>4</v>
      </c>
      <c r="K425" s="57"/>
      <c r="L425"/>
      <c r="M425"/>
      <c r="N425" s="19"/>
      <c r="O425" s="1"/>
    </row>
    <row r="426" spans="2:15">
      <c r="B426" s="55">
        <v>422</v>
      </c>
      <c r="C426" t="s">
        <v>482</v>
      </c>
      <c r="D426" s="85" t="s">
        <v>25</v>
      </c>
      <c r="E426" s="59" t="s">
        <v>1</v>
      </c>
      <c r="F426" s="32">
        <v>4500</v>
      </c>
      <c r="G426" s="56">
        <v>1</v>
      </c>
      <c r="H426" s="32">
        <v>4500</v>
      </c>
      <c r="I426" s="58" t="str">
        <f t="shared" ca="1" si="6"/>
        <v>MV1_EV_27MY_KO</v>
      </c>
      <c r="J426" s="65" cm="1">
        <f t="array" ref="J426">IF(D426="","",IF(
  COUNTIF($D$5:$D$571, "Infotainment system") &gt; 0,
  VLOOKUP(D426, 챕터!$F$4:$G$100, 2, FALSE),
  IF(
    SUM(COUNTIF($D$5:$D$571, {"Hybrid system overview","Electric vehicle guide","Infotainment system"})) &gt; 0,
    VLOOKUP(D426, 챕터!$D$4:$E$100, 2, FALSE),
    VLOOKUP(D426, 챕터!$B$4:$C$100, 2, FALSE)
  )
))</f>
        <v>4</v>
      </c>
      <c r="K426" s="57"/>
      <c r="L426"/>
      <c r="M426"/>
      <c r="N426" s="19"/>
      <c r="O426" s="1"/>
    </row>
    <row r="427" spans="2:15">
      <c r="B427" s="55">
        <v>423</v>
      </c>
      <c r="C427" t="s">
        <v>483</v>
      </c>
      <c r="D427" s="85" t="s">
        <v>25</v>
      </c>
      <c r="E427" s="59" t="s">
        <v>1</v>
      </c>
      <c r="F427" s="32">
        <v>4500</v>
      </c>
      <c r="G427" s="56">
        <v>1</v>
      </c>
      <c r="H427" s="32">
        <v>4500</v>
      </c>
      <c r="I427" s="58" t="str">
        <f t="shared" ca="1" si="6"/>
        <v>MV1_EV_27MY_KO</v>
      </c>
      <c r="J427" s="65" cm="1">
        <f t="array" ref="J427">IF(D427="","",IF(
  COUNTIF($D$5:$D$571, "Infotainment system") &gt; 0,
  VLOOKUP(D427, 챕터!$F$4:$G$100, 2, FALSE),
  IF(
    SUM(COUNTIF($D$5:$D$571, {"Hybrid system overview","Electric vehicle guide","Infotainment system"})) &gt; 0,
    VLOOKUP(D427, 챕터!$D$4:$E$100, 2, FALSE),
    VLOOKUP(D427, 챕터!$B$4:$C$100, 2, FALSE)
  )
))</f>
        <v>4</v>
      </c>
      <c r="K427" s="57"/>
      <c r="L427"/>
      <c r="M427"/>
      <c r="N427" s="19"/>
      <c r="O427" s="1"/>
    </row>
    <row r="428" spans="2:15">
      <c r="B428" s="55">
        <v>424</v>
      </c>
      <c r="C428" t="s">
        <v>484</v>
      </c>
      <c r="D428" s="85" t="s">
        <v>25</v>
      </c>
      <c r="E428" s="59" t="s">
        <v>1</v>
      </c>
      <c r="F428" s="32">
        <v>4500</v>
      </c>
      <c r="G428" s="56">
        <v>1</v>
      </c>
      <c r="H428" s="32">
        <v>4500</v>
      </c>
      <c r="I428" s="58" t="str">
        <f t="shared" ca="1" si="6"/>
        <v>MV1_EV_27MY_KO</v>
      </c>
      <c r="J428" s="65" cm="1">
        <f t="array" ref="J428">IF(D428="","",IF(
  COUNTIF($D$5:$D$571, "Infotainment system") &gt; 0,
  VLOOKUP(D428, 챕터!$F$4:$G$100, 2, FALSE),
  IF(
    SUM(COUNTIF($D$5:$D$571, {"Hybrid system overview","Electric vehicle guide","Infotainment system"})) &gt; 0,
    VLOOKUP(D428, 챕터!$D$4:$E$100, 2, FALSE),
    VLOOKUP(D428, 챕터!$B$4:$C$100, 2, FALSE)
  )
))</f>
        <v>4</v>
      </c>
      <c r="K428" s="57"/>
      <c r="L428"/>
      <c r="M428"/>
      <c r="N428" s="19"/>
      <c r="O428" s="1"/>
    </row>
    <row r="429" spans="2:15">
      <c r="B429" s="55">
        <v>425</v>
      </c>
      <c r="C429" t="s">
        <v>485</v>
      </c>
      <c r="D429" s="85" t="s">
        <v>25</v>
      </c>
      <c r="E429" s="59" t="s">
        <v>1</v>
      </c>
      <c r="F429" s="32">
        <v>4500</v>
      </c>
      <c r="G429" s="56">
        <v>1</v>
      </c>
      <c r="H429" s="32">
        <v>4500</v>
      </c>
      <c r="I429" s="58" t="str">
        <f t="shared" ca="1" si="6"/>
        <v>MV1_EV_27MY_KO</v>
      </c>
      <c r="J429" s="65" cm="1">
        <f t="array" ref="J429">IF(D429="","",IF(
  COUNTIF($D$5:$D$571, "Infotainment system") &gt; 0,
  VLOOKUP(D429, 챕터!$F$4:$G$100, 2, FALSE),
  IF(
    SUM(COUNTIF($D$5:$D$571, {"Hybrid system overview","Electric vehicle guide","Infotainment system"})) &gt; 0,
    VLOOKUP(D429, 챕터!$D$4:$E$100, 2, FALSE),
    VLOOKUP(D429, 챕터!$B$4:$C$100, 2, FALSE)
  )
))</f>
        <v>4</v>
      </c>
      <c r="K429" s="57"/>
      <c r="L429"/>
      <c r="M429"/>
      <c r="N429" s="19"/>
      <c r="O429" s="1"/>
    </row>
    <row r="430" spans="2:15">
      <c r="B430" s="55">
        <v>426</v>
      </c>
      <c r="C430" t="s">
        <v>486</v>
      </c>
      <c r="D430" s="85" t="s">
        <v>25</v>
      </c>
      <c r="E430" s="59" t="s">
        <v>1</v>
      </c>
      <c r="F430" s="32">
        <v>4500</v>
      </c>
      <c r="G430" s="56">
        <v>1</v>
      </c>
      <c r="H430" s="32">
        <v>4500</v>
      </c>
      <c r="I430" s="58" t="str">
        <f t="shared" ca="1" si="6"/>
        <v>MV1_EV_27MY_KO</v>
      </c>
      <c r="J430" s="65" cm="1">
        <f t="array" ref="J430">IF(D430="","",IF(
  COUNTIF($D$5:$D$571, "Infotainment system") &gt; 0,
  VLOOKUP(D430, 챕터!$F$4:$G$100, 2, FALSE),
  IF(
    SUM(COUNTIF($D$5:$D$571, {"Hybrid system overview","Electric vehicle guide","Infotainment system"})) &gt; 0,
    VLOOKUP(D430, 챕터!$D$4:$E$100, 2, FALSE),
    VLOOKUP(D430, 챕터!$B$4:$C$100, 2, FALSE)
  )
))</f>
        <v>4</v>
      </c>
      <c r="K430" s="57"/>
      <c r="L430"/>
      <c r="M430"/>
      <c r="N430" s="19"/>
      <c r="O430" s="1"/>
    </row>
    <row r="431" spans="2:15">
      <c r="B431" s="55">
        <v>427</v>
      </c>
      <c r="C431" t="s">
        <v>487</v>
      </c>
      <c r="D431" s="85" t="s">
        <v>25</v>
      </c>
      <c r="E431" s="59" t="s">
        <v>1</v>
      </c>
      <c r="F431" s="32">
        <v>4500</v>
      </c>
      <c r="G431" s="56">
        <v>1</v>
      </c>
      <c r="H431" s="32">
        <v>4500</v>
      </c>
      <c r="I431" s="58" t="str">
        <f t="shared" ca="1" si="6"/>
        <v>MV1_EV_27MY_KO</v>
      </c>
      <c r="J431" s="65" cm="1">
        <f t="array" ref="J431">IF(D431="","",IF(
  COUNTIF($D$5:$D$571, "Infotainment system") &gt; 0,
  VLOOKUP(D431, 챕터!$F$4:$G$100, 2, FALSE),
  IF(
    SUM(COUNTIF($D$5:$D$571, {"Hybrid system overview","Electric vehicle guide","Infotainment system"})) &gt; 0,
    VLOOKUP(D431, 챕터!$D$4:$E$100, 2, FALSE),
    VLOOKUP(D431, 챕터!$B$4:$C$100, 2, FALSE)
  )
))</f>
        <v>4</v>
      </c>
      <c r="K431" s="57"/>
      <c r="L431"/>
      <c r="M431"/>
      <c r="N431" s="19"/>
      <c r="O431" s="1"/>
    </row>
    <row r="432" spans="2:15">
      <c r="B432" s="55">
        <v>428</v>
      </c>
      <c r="C432" t="s">
        <v>488</v>
      </c>
      <c r="D432" s="85" t="s">
        <v>25</v>
      </c>
      <c r="E432" s="59" t="s">
        <v>1</v>
      </c>
      <c r="F432" s="32">
        <v>4500</v>
      </c>
      <c r="G432" s="56">
        <v>1</v>
      </c>
      <c r="H432" s="32">
        <v>4500</v>
      </c>
      <c r="I432" s="58" t="str">
        <f t="shared" ca="1" si="6"/>
        <v>MV1_EV_27MY_KO</v>
      </c>
      <c r="J432" s="65" cm="1">
        <f t="array" ref="J432">IF(D432="","",IF(
  COUNTIF($D$5:$D$571, "Infotainment system") &gt; 0,
  VLOOKUP(D432, 챕터!$F$4:$G$100, 2, FALSE),
  IF(
    SUM(COUNTIF($D$5:$D$571, {"Hybrid system overview","Electric vehicle guide","Infotainment system"})) &gt; 0,
    VLOOKUP(D432, 챕터!$D$4:$E$100, 2, FALSE),
    VLOOKUP(D432, 챕터!$B$4:$C$100, 2, FALSE)
  )
))</f>
        <v>4</v>
      </c>
      <c r="K432" s="57"/>
      <c r="L432"/>
      <c r="M432"/>
      <c r="N432" s="19"/>
      <c r="O432" s="1"/>
    </row>
    <row r="433" spans="2:15">
      <c r="B433" s="55">
        <v>429</v>
      </c>
      <c r="C433" t="s">
        <v>489</v>
      </c>
      <c r="D433" s="85" t="s">
        <v>25</v>
      </c>
      <c r="E433" s="59" t="s">
        <v>1</v>
      </c>
      <c r="F433" s="32">
        <v>4500</v>
      </c>
      <c r="G433" s="56">
        <v>1</v>
      </c>
      <c r="H433" s="32">
        <v>4500</v>
      </c>
      <c r="I433" s="58" t="str">
        <f t="shared" ca="1" si="6"/>
        <v>MV1_EV_27MY_KO</v>
      </c>
      <c r="J433" s="65" cm="1">
        <f t="array" ref="J433">IF(D433="","",IF(
  COUNTIF($D$5:$D$571, "Infotainment system") &gt; 0,
  VLOOKUP(D433, 챕터!$F$4:$G$100, 2, FALSE),
  IF(
    SUM(COUNTIF($D$5:$D$571, {"Hybrid system overview","Electric vehicle guide","Infotainment system"})) &gt; 0,
    VLOOKUP(D433, 챕터!$D$4:$E$100, 2, FALSE),
    VLOOKUP(D433, 챕터!$B$4:$C$100, 2, FALSE)
  )
))</f>
        <v>4</v>
      </c>
      <c r="K433" s="57"/>
      <c r="L433"/>
      <c r="M433"/>
      <c r="N433" s="19"/>
      <c r="O433" s="1"/>
    </row>
    <row r="434" spans="2:15">
      <c r="B434" s="55">
        <v>430</v>
      </c>
      <c r="C434" t="s">
        <v>490</v>
      </c>
      <c r="D434" s="85" t="s">
        <v>25</v>
      </c>
      <c r="E434" s="59" t="s">
        <v>1</v>
      </c>
      <c r="F434" s="32">
        <v>4500</v>
      </c>
      <c r="G434" s="56">
        <v>1</v>
      </c>
      <c r="H434" s="32">
        <v>4500</v>
      </c>
      <c r="I434" s="58" t="str">
        <f t="shared" ca="1" si="6"/>
        <v>MV1_EV_27MY_KO</v>
      </c>
      <c r="J434" s="65" cm="1">
        <f t="array" ref="J434">IF(D434="","",IF(
  COUNTIF($D$5:$D$571, "Infotainment system") &gt; 0,
  VLOOKUP(D434, 챕터!$F$4:$G$100, 2, FALSE),
  IF(
    SUM(COUNTIF($D$5:$D$571, {"Hybrid system overview","Electric vehicle guide","Infotainment system"})) &gt; 0,
    VLOOKUP(D434, 챕터!$D$4:$E$100, 2, FALSE),
    VLOOKUP(D434, 챕터!$B$4:$C$100, 2, FALSE)
  )
))</f>
        <v>4</v>
      </c>
      <c r="K434" s="57"/>
      <c r="L434"/>
      <c r="M434"/>
      <c r="N434" s="19"/>
      <c r="O434" s="1"/>
    </row>
    <row r="435" spans="2:15">
      <c r="B435" s="55">
        <v>431</v>
      </c>
      <c r="C435" t="s">
        <v>491</v>
      </c>
      <c r="D435" s="85" t="s">
        <v>25</v>
      </c>
      <c r="E435" s="59" t="s">
        <v>1</v>
      </c>
      <c r="F435" s="32">
        <v>4500</v>
      </c>
      <c r="G435" s="56">
        <v>1</v>
      </c>
      <c r="H435" s="32">
        <v>4500</v>
      </c>
      <c r="I435" s="58" t="str">
        <f t="shared" ca="1" si="6"/>
        <v>MV1_EV_27MY_KO</v>
      </c>
      <c r="J435" s="65" cm="1">
        <f t="array" ref="J435">IF(D435="","",IF(
  COUNTIF($D$5:$D$571, "Infotainment system") &gt; 0,
  VLOOKUP(D435, 챕터!$F$4:$G$100, 2, FALSE),
  IF(
    SUM(COUNTIF($D$5:$D$571, {"Hybrid system overview","Electric vehicle guide","Infotainment system"})) &gt; 0,
    VLOOKUP(D435, 챕터!$D$4:$E$100, 2, FALSE),
    VLOOKUP(D435, 챕터!$B$4:$C$100, 2, FALSE)
  )
))</f>
        <v>4</v>
      </c>
      <c r="K435" s="57"/>
      <c r="L435"/>
      <c r="M435"/>
      <c r="N435" s="19"/>
      <c r="O435" s="1"/>
    </row>
    <row r="436" spans="2:15">
      <c r="B436" s="55">
        <v>432</v>
      </c>
      <c r="C436" t="s">
        <v>492</v>
      </c>
      <c r="D436" s="85" t="s">
        <v>25</v>
      </c>
      <c r="E436" s="59" t="s">
        <v>1</v>
      </c>
      <c r="F436" s="32">
        <v>4500</v>
      </c>
      <c r="G436" s="56">
        <v>1</v>
      </c>
      <c r="H436" s="32">
        <v>4500</v>
      </c>
      <c r="I436" s="58" t="str">
        <f t="shared" ca="1" si="6"/>
        <v>MV1_EV_27MY_KO</v>
      </c>
      <c r="J436" s="65" cm="1">
        <f t="array" ref="J436">IF(D436="","",IF(
  COUNTIF($D$5:$D$571, "Infotainment system") &gt; 0,
  VLOOKUP(D436, 챕터!$F$4:$G$100, 2, FALSE),
  IF(
    SUM(COUNTIF($D$5:$D$571, {"Hybrid system overview","Electric vehicle guide","Infotainment system"})) &gt; 0,
    VLOOKUP(D436, 챕터!$D$4:$E$100, 2, FALSE),
    VLOOKUP(D436, 챕터!$B$4:$C$100, 2, FALSE)
  )
))</f>
        <v>4</v>
      </c>
      <c r="K436" s="57"/>
      <c r="L436"/>
      <c r="M436"/>
      <c r="N436" s="19"/>
      <c r="O436" s="1"/>
    </row>
    <row r="437" spans="2:15">
      <c r="B437" s="55">
        <v>433</v>
      </c>
      <c r="C437" t="s">
        <v>493</v>
      </c>
      <c r="D437" s="85" t="s">
        <v>26</v>
      </c>
      <c r="E437" s="59" t="s">
        <v>1</v>
      </c>
      <c r="F437" s="32">
        <v>4500</v>
      </c>
      <c r="G437" s="56">
        <v>1</v>
      </c>
      <c r="H437" s="32">
        <v>4500</v>
      </c>
      <c r="I437" s="58" t="str">
        <f t="shared" ca="1" si="6"/>
        <v>MV1_EV_27MY_KO</v>
      </c>
      <c r="J437" s="65" cm="1">
        <f t="array" ref="J437">IF(D437="","",IF(
  COUNTIF($D$5:$D$571, "Infotainment system") &gt; 0,
  VLOOKUP(D437, 챕터!$F$4:$G$100, 2, FALSE),
  IF(
    SUM(COUNTIF($D$5:$D$571, {"Hybrid system overview","Electric vehicle guide","Infotainment system"})) &gt; 0,
    VLOOKUP(D437, 챕터!$D$4:$E$100, 2, FALSE),
    VLOOKUP(D437, 챕터!$B$4:$C$100, 2, FALSE)
  )
))</f>
        <v>5</v>
      </c>
      <c r="K437" s="57"/>
      <c r="L437"/>
      <c r="M437"/>
      <c r="N437" s="19"/>
      <c r="O437" s="1"/>
    </row>
    <row r="438" spans="2:15">
      <c r="B438" s="55">
        <v>434</v>
      </c>
      <c r="C438" t="s">
        <v>494</v>
      </c>
      <c r="D438" s="85" t="s">
        <v>26</v>
      </c>
      <c r="E438" s="59" t="s">
        <v>1</v>
      </c>
      <c r="F438" s="32">
        <v>4500</v>
      </c>
      <c r="G438" s="56">
        <v>1</v>
      </c>
      <c r="H438" s="32">
        <v>4500</v>
      </c>
      <c r="I438" s="58" t="str">
        <f t="shared" ca="1" si="6"/>
        <v>MV1_EV_27MY_KO</v>
      </c>
      <c r="J438" s="65" cm="1">
        <f t="array" ref="J438">IF(D438="","",IF(
  COUNTIF($D$5:$D$571, "Infotainment system") &gt; 0,
  VLOOKUP(D438, 챕터!$F$4:$G$100, 2, FALSE),
  IF(
    SUM(COUNTIF($D$5:$D$571, {"Hybrid system overview","Electric vehicle guide","Infotainment system"})) &gt; 0,
    VLOOKUP(D438, 챕터!$D$4:$E$100, 2, FALSE),
    VLOOKUP(D438, 챕터!$B$4:$C$100, 2, FALSE)
  )
))</f>
        <v>5</v>
      </c>
      <c r="K438" s="57"/>
      <c r="L438"/>
      <c r="M438"/>
      <c r="N438" s="19"/>
      <c r="O438" s="1"/>
    </row>
    <row r="439" spans="2:15">
      <c r="B439" s="55">
        <v>435</v>
      </c>
      <c r="C439" t="s">
        <v>495</v>
      </c>
      <c r="D439" s="85" t="s">
        <v>26</v>
      </c>
      <c r="E439" s="59" t="s">
        <v>1</v>
      </c>
      <c r="F439" s="32">
        <v>4500</v>
      </c>
      <c r="G439" s="56">
        <v>1</v>
      </c>
      <c r="H439" s="32">
        <v>4500</v>
      </c>
      <c r="I439" s="58" t="str">
        <f t="shared" ca="1" si="6"/>
        <v>MV1_EV_27MY_KO</v>
      </c>
      <c r="J439" s="65" cm="1">
        <f t="array" ref="J439">IF(D439="","",IF(
  COUNTIF($D$5:$D$571, "Infotainment system") &gt; 0,
  VLOOKUP(D439, 챕터!$F$4:$G$100, 2, FALSE),
  IF(
    SUM(COUNTIF($D$5:$D$571, {"Hybrid system overview","Electric vehicle guide","Infotainment system"})) &gt; 0,
    VLOOKUP(D439, 챕터!$D$4:$E$100, 2, FALSE),
    VLOOKUP(D439, 챕터!$B$4:$C$100, 2, FALSE)
  )
))</f>
        <v>5</v>
      </c>
      <c r="K439" s="57"/>
      <c r="L439"/>
      <c r="M439"/>
      <c r="N439" s="19"/>
      <c r="O439" s="1"/>
    </row>
    <row r="440" spans="2:15">
      <c r="B440" s="55">
        <v>436</v>
      </c>
      <c r="C440" t="s">
        <v>496</v>
      </c>
      <c r="D440" s="85" t="s">
        <v>26</v>
      </c>
      <c r="E440" s="59" t="s">
        <v>1</v>
      </c>
      <c r="F440" s="32">
        <v>4500</v>
      </c>
      <c r="G440" s="56">
        <v>1</v>
      </c>
      <c r="H440" s="32">
        <v>4500</v>
      </c>
      <c r="I440" s="58" t="str">
        <f t="shared" ca="1" si="6"/>
        <v>MV1_EV_27MY_KO</v>
      </c>
      <c r="J440" s="65" cm="1">
        <f t="array" ref="J440">IF(D440="","",IF(
  COUNTIF($D$5:$D$571, "Infotainment system") &gt; 0,
  VLOOKUP(D440, 챕터!$F$4:$G$100, 2, FALSE),
  IF(
    SUM(COUNTIF($D$5:$D$571, {"Hybrid system overview","Electric vehicle guide","Infotainment system"})) &gt; 0,
    VLOOKUP(D440, 챕터!$D$4:$E$100, 2, FALSE),
    VLOOKUP(D440, 챕터!$B$4:$C$100, 2, FALSE)
  )
))</f>
        <v>5</v>
      </c>
      <c r="K440" s="57"/>
      <c r="L440"/>
      <c r="M440"/>
      <c r="N440" s="19"/>
      <c r="O440" s="1"/>
    </row>
    <row r="441" spans="2:15">
      <c r="B441" s="55">
        <v>437</v>
      </c>
      <c r="C441" t="s">
        <v>497</v>
      </c>
      <c r="D441" s="85" t="s">
        <v>26</v>
      </c>
      <c r="E441" s="59" t="s">
        <v>1</v>
      </c>
      <c r="F441" s="32">
        <v>4500</v>
      </c>
      <c r="G441" s="56">
        <v>1</v>
      </c>
      <c r="H441" s="32">
        <v>4500</v>
      </c>
      <c r="I441" s="58" t="str">
        <f t="shared" ca="1" si="6"/>
        <v>MV1_EV_27MY_KO</v>
      </c>
      <c r="J441" s="65" cm="1">
        <f t="array" ref="J441">IF(D441="","",IF(
  COUNTIF($D$5:$D$571, "Infotainment system") &gt; 0,
  VLOOKUP(D441, 챕터!$F$4:$G$100, 2, FALSE),
  IF(
    SUM(COUNTIF($D$5:$D$571, {"Hybrid system overview","Electric vehicle guide","Infotainment system"})) &gt; 0,
    VLOOKUP(D441, 챕터!$D$4:$E$100, 2, FALSE),
    VLOOKUP(D441, 챕터!$B$4:$C$100, 2, FALSE)
  )
))</f>
        <v>5</v>
      </c>
      <c r="K441" s="57"/>
      <c r="L441"/>
      <c r="M441"/>
      <c r="N441" s="19"/>
      <c r="O441" s="1"/>
    </row>
    <row r="442" spans="2:15">
      <c r="B442" s="55">
        <v>438</v>
      </c>
      <c r="C442" t="s">
        <v>498</v>
      </c>
      <c r="D442" s="85" t="s">
        <v>26</v>
      </c>
      <c r="E442" s="59" t="s">
        <v>1</v>
      </c>
      <c r="F442" s="32">
        <v>4500</v>
      </c>
      <c r="G442" s="56">
        <v>1</v>
      </c>
      <c r="H442" s="32">
        <v>4500</v>
      </c>
      <c r="I442" s="58" t="str">
        <f t="shared" ca="1" si="6"/>
        <v>MV1_EV_27MY_KO</v>
      </c>
      <c r="J442" s="65" cm="1">
        <f t="array" ref="J442">IF(D442="","",IF(
  COUNTIF($D$5:$D$571, "Infotainment system") &gt; 0,
  VLOOKUP(D442, 챕터!$F$4:$G$100, 2, FALSE),
  IF(
    SUM(COUNTIF($D$5:$D$571, {"Hybrid system overview","Electric vehicle guide","Infotainment system"})) &gt; 0,
    VLOOKUP(D442, 챕터!$D$4:$E$100, 2, FALSE),
    VLOOKUP(D442, 챕터!$B$4:$C$100, 2, FALSE)
  )
))</f>
        <v>5</v>
      </c>
      <c r="K442" s="57"/>
      <c r="L442"/>
      <c r="M442"/>
      <c r="N442" s="19"/>
      <c r="O442" s="1"/>
    </row>
    <row r="443" spans="2:15">
      <c r="B443" s="55">
        <v>439</v>
      </c>
      <c r="C443" t="s">
        <v>499</v>
      </c>
      <c r="D443" s="85" t="s">
        <v>26</v>
      </c>
      <c r="E443" s="59" t="s">
        <v>1</v>
      </c>
      <c r="F443" s="32">
        <v>4500</v>
      </c>
      <c r="G443" s="56">
        <v>1</v>
      </c>
      <c r="H443" s="32">
        <v>4500</v>
      </c>
      <c r="I443" s="58" t="str">
        <f t="shared" ca="1" si="6"/>
        <v>MV1_EV_27MY_KO</v>
      </c>
      <c r="J443" s="65" cm="1">
        <f t="array" ref="J443">IF(D443="","",IF(
  COUNTIF($D$5:$D$571, "Infotainment system") &gt; 0,
  VLOOKUP(D443, 챕터!$F$4:$G$100, 2, FALSE),
  IF(
    SUM(COUNTIF($D$5:$D$571, {"Hybrid system overview","Electric vehicle guide","Infotainment system"})) &gt; 0,
    VLOOKUP(D443, 챕터!$D$4:$E$100, 2, FALSE),
    VLOOKUP(D443, 챕터!$B$4:$C$100, 2, FALSE)
  )
))</f>
        <v>5</v>
      </c>
      <c r="K443" s="57"/>
      <c r="L443"/>
      <c r="M443"/>
      <c r="N443" s="19"/>
      <c r="O443" s="1"/>
    </row>
    <row r="444" spans="2:15">
      <c r="B444" s="55">
        <v>440</v>
      </c>
      <c r="C444" t="s">
        <v>500</v>
      </c>
      <c r="D444" s="85" t="s">
        <v>26</v>
      </c>
      <c r="E444" s="59" t="s">
        <v>1</v>
      </c>
      <c r="F444" s="32">
        <v>4500</v>
      </c>
      <c r="G444" s="56">
        <v>1</v>
      </c>
      <c r="H444" s="32">
        <v>4500</v>
      </c>
      <c r="I444" s="58" t="str">
        <f t="shared" ca="1" si="6"/>
        <v>MV1_EV_27MY_KO</v>
      </c>
      <c r="J444" s="65" cm="1">
        <f t="array" ref="J444">IF(D444="","",IF(
  COUNTIF($D$5:$D$571, "Infotainment system") &gt; 0,
  VLOOKUP(D444, 챕터!$F$4:$G$100, 2, FALSE),
  IF(
    SUM(COUNTIF($D$5:$D$571, {"Hybrid system overview","Electric vehicle guide","Infotainment system"})) &gt; 0,
    VLOOKUP(D444, 챕터!$D$4:$E$100, 2, FALSE),
    VLOOKUP(D444, 챕터!$B$4:$C$100, 2, FALSE)
  )
))</f>
        <v>5</v>
      </c>
      <c r="K444" s="57"/>
      <c r="L444"/>
      <c r="M444"/>
      <c r="N444" s="19"/>
      <c r="O444" s="1"/>
    </row>
    <row r="445" spans="2:15">
      <c r="B445" s="55">
        <v>441</v>
      </c>
      <c r="C445" t="s">
        <v>501</v>
      </c>
      <c r="D445" s="85" t="s">
        <v>26</v>
      </c>
      <c r="E445" s="59" t="s">
        <v>1</v>
      </c>
      <c r="F445" s="32">
        <v>4500</v>
      </c>
      <c r="G445" s="56">
        <v>1</v>
      </c>
      <c r="H445" s="32">
        <v>4500</v>
      </c>
      <c r="I445" s="58" t="str">
        <f t="shared" ca="1" si="6"/>
        <v>MV1_EV_27MY_KO</v>
      </c>
      <c r="J445" s="65" cm="1">
        <f t="array" ref="J445">IF(D445="","",IF(
  COUNTIF($D$5:$D$571, "Infotainment system") &gt; 0,
  VLOOKUP(D445, 챕터!$F$4:$G$100, 2, FALSE),
  IF(
    SUM(COUNTIF($D$5:$D$571, {"Hybrid system overview","Electric vehicle guide","Infotainment system"})) &gt; 0,
    VLOOKUP(D445, 챕터!$D$4:$E$100, 2, FALSE),
    VLOOKUP(D445, 챕터!$B$4:$C$100, 2, FALSE)
  )
))</f>
        <v>5</v>
      </c>
      <c r="K445" s="57"/>
      <c r="L445"/>
      <c r="M445"/>
      <c r="N445" s="19"/>
      <c r="O445" s="1"/>
    </row>
    <row r="446" spans="2:15">
      <c r="B446" s="55">
        <v>442</v>
      </c>
      <c r="C446" t="s">
        <v>502</v>
      </c>
      <c r="D446" s="85" t="s">
        <v>26</v>
      </c>
      <c r="E446" s="59" t="s">
        <v>1</v>
      </c>
      <c r="F446" s="32">
        <v>4500</v>
      </c>
      <c r="G446" s="56">
        <v>1</v>
      </c>
      <c r="H446" s="32">
        <v>4500</v>
      </c>
      <c r="I446" s="58" t="str">
        <f t="shared" ca="1" si="6"/>
        <v>MV1_EV_27MY_KO</v>
      </c>
      <c r="J446" s="65" cm="1">
        <f t="array" ref="J446">IF(D446="","",IF(
  COUNTIF($D$5:$D$571, "Infotainment system") &gt; 0,
  VLOOKUP(D446, 챕터!$F$4:$G$100, 2, FALSE),
  IF(
    SUM(COUNTIF($D$5:$D$571, {"Hybrid system overview","Electric vehicle guide","Infotainment system"})) &gt; 0,
    VLOOKUP(D446, 챕터!$D$4:$E$100, 2, FALSE),
    VLOOKUP(D446, 챕터!$B$4:$C$100, 2, FALSE)
  )
))</f>
        <v>5</v>
      </c>
      <c r="K446" s="57"/>
      <c r="L446"/>
      <c r="M446"/>
      <c r="N446" s="19"/>
      <c r="O446" s="1"/>
    </row>
    <row r="447" spans="2:15">
      <c r="B447" s="55">
        <v>443</v>
      </c>
      <c r="C447" t="s">
        <v>503</v>
      </c>
      <c r="D447" s="85" t="s">
        <v>26</v>
      </c>
      <c r="E447" s="59" t="s">
        <v>1</v>
      </c>
      <c r="F447" s="32">
        <v>4500</v>
      </c>
      <c r="G447" s="56">
        <v>1</v>
      </c>
      <c r="H447" s="32">
        <v>4500</v>
      </c>
      <c r="I447" s="58" t="str">
        <f t="shared" ca="1" si="6"/>
        <v>MV1_EV_27MY_KO</v>
      </c>
      <c r="J447" s="65" cm="1">
        <f t="array" ref="J447">IF(D447="","",IF(
  COUNTIF($D$5:$D$571, "Infotainment system") &gt; 0,
  VLOOKUP(D447, 챕터!$F$4:$G$100, 2, FALSE),
  IF(
    SUM(COUNTIF($D$5:$D$571, {"Hybrid system overview","Electric vehicle guide","Infotainment system"})) &gt; 0,
    VLOOKUP(D447, 챕터!$D$4:$E$100, 2, FALSE),
    VLOOKUP(D447, 챕터!$B$4:$C$100, 2, FALSE)
  )
))</f>
        <v>5</v>
      </c>
      <c r="K447" s="57"/>
      <c r="L447"/>
      <c r="M447"/>
      <c r="N447" s="19"/>
      <c r="O447" s="1"/>
    </row>
    <row r="448" spans="2:15">
      <c r="B448" s="55">
        <v>444</v>
      </c>
      <c r="C448" t="s">
        <v>504</v>
      </c>
      <c r="D448" s="85" t="s">
        <v>26</v>
      </c>
      <c r="E448" s="59" t="s">
        <v>1</v>
      </c>
      <c r="F448" s="32">
        <v>4500</v>
      </c>
      <c r="G448" s="56">
        <v>1</v>
      </c>
      <c r="H448" s="32">
        <v>4500</v>
      </c>
      <c r="I448" s="58" t="str">
        <f t="shared" ca="1" si="6"/>
        <v>MV1_EV_27MY_KO</v>
      </c>
      <c r="J448" s="65" cm="1">
        <f t="array" ref="J448">IF(D448="","",IF(
  COUNTIF($D$5:$D$571, "Infotainment system") &gt; 0,
  VLOOKUP(D448, 챕터!$F$4:$G$100, 2, FALSE),
  IF(
    SUM(COUNTIF($D$5:$D$571, {"Hybrid system overview","Electric vehicle guide","Infotainment system"})) &gt; 0,
    VLOOKUP(D448, 챕터!$D$4:$E$100, 2, FALSE),
    VLOOKUP(D448, 챕터!$B$4:$C$100, 2, FALSE)
  )
))</f>
        <v>5</v>
      </c>
      <c r="K448" s="57"/>
      <c r="L448"/>
      <c r="M448"/>
      <c r="N448" s="19"/>
      <c r="O448" s="1"/>
    </row>
    <row r="449" spans="2:15">
      <c r="B449" s="55">
        <v>445</v>
      </c>
      <c r="C449" t="s">
        <v>505</v>
      </c>
      <c r="D449" s="85" t="s">
        <v>26</v>
      </c>
      <c r="E449" s="59" t="s">
        <v>1</v>
      </c>
      <c r="F449" s="32">
        <v>4500</v>
      </c>
      <c r="G449" s="56">
        <v>1</v>
      </c>
      <c r="H449" s="32">
        <v>4500</v>
      </c>
      <c r="I449" s="58" t="str">
        <f t="shared" ca="1" si="6"/>
        <v>MV1_EV_27MY_KO</v>
      </c>
      <c r="J449" s="65" cm="1">
        <f t="array" ref="J449">IF(D449="","",IF(
  COUNTIF($D$5:$D$571, "Infotainment system") &gt; 0,
  VLOOKUP(D449, 챕터!$F$4:$G$100, 2, FALSE),
  IF(
    SUM(COUNTIF($D$5:$D$571, {"Hybrid system overview","Electric vehicle guide","Infotainment system"})) &gt; 0,
    VLOOKUP(D449, 챕터!$D$4:$E$100, 2, FALSE),
    VLOOKUP(D449, 챕터!$B$4:$C$100, 2, FALSE)
  )
))</f>
        <v>5</v>
      </c>
      <c r="K449" s="57"/>
      <c r="L449"/>
      <c r="M449"/>
      <c r="N449" s="19"/>
      <c r="O449" s="1"/>
    </row>
    <row r="450" spans="2:15">
      <c r="B450" s="55">
        <v>446</v>
      </c>
      <c r="C450" t="s">
        <v>506</v>
      </c>
      <c r="D450" s="85" t="s">
        <v>26</v>
      </c>
      <c r="E450" s="59" t="s">
        <v>1</v>
      </c>
      <c r="F450" s="32">
        <v>4500</v>
      </c>
      <c r="G450" s="56">
        <v>1</v>
      </c>
      <c r="H450" s="32">
        <v>4500</v>
      </c>
      <c r="I450" s="58" t="str">
        <f t="shared" ca="1" si="6"/>
        <v>MV1_EV_27MY_KO</v>
      </c>
      <c r="J450" s="65" cm="1">
        <f t="array" ref="J450">IF(D450="","",IF(
  COUNTIF($D$5:$D$571, "Infotainment system") &gt; 0,
  VLOOKUP(D450, 챕터!$F$4:$G$100, 2, FALSE),
  IF(
    SUM(COUNTIF($D$5:$D$571, {"Hybrid system overview","Electric vehicle guide","Infotainment system"})) &gt; 0,
    VLOOKUP(D450, 챕터!$D$4:$E$100, 2, FALSE),
    VLOOKUP(D450, 챕터!$B$4:$C$100, 2, FALSE)
  )
))</f>
        <v>5</v>
      </c>
      <c r="K450" s="57"/>
      <c r="L450"/>
      <c r="M450"/>
      <c r="N450" s="19"/>
      <c r="O450" s="1"/>
    </row>
    <row r="451" spans="2:15">
      <c r="B451" s="55">
        <v>447</v>
      </c>
      <c r="C451" t="s">
        <v>507</v>
      </c>
      <c r="D451" s="85" t="s">
        <v>26</v>
      </c>
      <c r="E451" s="59" t="s">
        <v>1</v>
      </c>
      <c r="F451" s="32">
        <v>4500</v>
      </c>
      <c r="G451" s="56">
        <v>1</v>
      </c>
      <c r="H451" s="32">
        <v>4500</v>
      </c>
      <c r="I451" s="58" t="str">
        <f t="shared" ca="1" si="6"/>
        <v>MV1_EV_27MY_KO</v>
      </c>
      <c r="J451" s="65" cm="1">
        <f t="array" ref="J451">IF(D451="","",IF(
  COUNTIF($D$5:$D$571, "Infotainment system") &gt; 0,
  VLOOKUP(D451, 챕터!$F$4:$G$100, 2, FALSE),
  IF(
    SUM(COUNTIF($D$5:$D$571, {"Hybrid system overview","Electric vehicle guide","Infotainment system"})) &gt; 0,
    VLOOKUP(D451, 챕터!$D$4:$E$100, 2, FALSE),
    VLOOKUP(D451, 챕터!$B$4:$C$100, 2, FALSE)
  )
))</f>
        <v>5</v>
      </c>
      <c r="K451" s="57"/>
      <c r="L451"/>
      <c r="M451"/>
      <c r="N451" s="19"/>
      <c r="O451" s="1"/>
    </row>
    <row r="452" spans="2:15">
      <c r="B452" s="55">
        <v>448</v>
      </c>
      <c r="C452" t="s">
        <v>508</v>
      </c>
      <c r="D452" s="85" t="s">
        <v>26</v>
      </c>
      <c r="E452" s="59" t="s">
        <v>1</v>
      </c>
      <c r="F452" s="32">
        <v>4500</v>
      </c>
      <c r="G452" s="56">
        <v>1</v>
      </c>
      <c r="H452" s="32">
        <v>4500</v>
      </c>
      <c r="I452" s="58" t="str">
        <f t="shared" ca="1" si="6"/>
        <v>MV1_EV_27MY_KO</v>
      </c>
      <c r="J452" s="65" cm="1">
        <f t="array" ref="J452">IF(D452="","",IF(
  COUNTIF($D$5:$D$571, "Infotainment system") &gt; 0,
  VLOOKUP(D452, 챕터!$F$4:$G$100, 2, FALSE),
  IF(
    SUM(COUNTIF($D$5:$D$571, {"Hybrid system overview","Electric vehicle guide","Infotainment system"})) &gt; 0,
    VLOOKUP(D452, 챕터!$D$4:$E$100, 2, FALSE),
    VLOOKUP(D452, 챕터!$B$4:$C$100, 2, FALSE)
  )
))</f>
        <v>5</v>
      </c>
      <c r="K452" s="57"/>
      <c r="L452"/>
      <c r="M452"/>
      <c r="N452" s="19"/>
      <c r="O452" s="1"/>
    </row>
    <row r="453" spans="2:15">
      <c r="B453" s="55">
        <v>449</v>
      </c>
      <c r="C453" t="s">
        <v>509</v>
      </c>
      <c r="D453" s="85" t="s">
        <v>26</v>
      </c>
      <c r="E453" s="59" t="s">
        <v>1</v>
      </c>
      <c r="F453" s="32">
        <v>4500</v>
      </c>
      <c r="G453" s="56">
        <v>1</v>
      </c>
      <c r="H453" s="32">
        <v>4500</v>
      </c>
      <c r="I453" s="58" t="str">
        <f t="shared" ca="1" si="6"/>
        <v>MV1_EV_27MY_KO</v>
      </c>
      <c r="J453" s="65" cm="1">
        <f t="array" ref="J453">IF(D453="","",IF(
  COUNTIF($D$5:$D$571, "Infotainment system") &gt; 0,
  VLOOKUP(D453, 챕터!$F$4:$G$100, 2, FALSE),
  IF(
    SUM(COUNTIF($D$5:$D$571, {"Hybrid system overview","Electric vehicle guide","Infotainment system"})) &gt; 0,
    VLOOKUP(D453, 챕터!$D$4:$E$100, 2, FALSE),
    VLOOKUP(D453, 챕터!$B$4:$C$100, 2, FALSE)
  )
))</f>
        <v>5</v>
      </c>
      <c r="K453" s="57"/>
      <c r="L453"/>
      <c r="M453"/>
      <c r="N453" s="19"/>
      <c r="O453" s="1"/>
    </row>
    <row r="454" spans="2:15">
      <c r="B454" s="55">
        <v>450</v>
      </c>
      <c r="C454" t="s">
        <v>510</v>
      </c>
      <c r="D454" s="85" t="s">
        <v>26</v>
      </c>
      <c r="E454" s="59" t="s">
        <v>1</v>
      </c>
      <c r="F454" s="32">
        <v>4500</v>
      </c>
      <c r="G454" s="56">
        <v>1</v>
      </c>
      <c r="H454" s="32">
        <v>4500</v>
      </c>
      <c r="I454" s="58" t="str">
        <f t="shared" ca="1" si="6"/>
        <v>MV1_EV_27MY_KO</v>
      </c>
      <c r="J454" s="65" cm="1">
        <f t="array" ref="J454">IF(D454="","",IF(
  COUNTIF($D$5:$D$571, "Infotainment system") &gt; 0,
  VLOOKUP(D454, 챕터!$F$4:$G$100, 2, FALSE),
  IF(
    SUM(COUNTIF($D$5:$D$571, {"Hybrid system overview","Electric vehicle guide","Infotainment system"})) &gt; 0,
    VLOOKUP(D454, 챕터!$D$4:$E$100, 2, FALSE),
    VLOOKUP(D454, 챕터!$B$4:$C$100, 2, FALSE)
  )
))</f>
        <v>5</v>
      </c>
      <c r="K454" s="57"/>
      <c r="L454"/>
      <c r="M454"/>
      <c r="N454" s="19"/>
      <c r="O454" s="1"/>
    </row>
    <row r="455" spans="2:15">
      <c r="B455" s="55">
        <v>451</v>
      </c>
      <c r="C455" t="s">
        <v>511</v>
      </c>
      <c r="D455" s="85" t="s">
        <v>26</v>
      </c>
      <c r="E455" s="59" t="s">
        <v>1</v>
      </c>
      <c r="F455" s="32">
        <v>4500</v>
      </c>
      <c r="G455" s="56">
        <v>1</v>
      </c>
      <c r="H455" s="32">
        <v>4500</v>
      </c>
      <c r="I455" s="58" t="str">
        <f t="shared" ref="I455:I518" ca="1" si="7">IF(D455="","",$I$5)</f>
        <v>MV1_EV_27MY_KO</v>
      </c>
      <c r="J455" s="65" cm="1">
        <f t="array" ref="J455">IF(D455="","",IF(
  COUNTIF($D$5:$D$571, "Infotainment system") &gt; 0,
  VLOOKUP(D455, 챕터!$F$4:$G$100, 2, FALSE),
  IF(
    SUM(COUNTIF($D$5:$D$571, {"Hybrid system overview","Electric vehicle guide","Infotainment system"})) &gt; 0,
    VLOOKUP(D455, 챕터!$D$4:$E$100, 2, FALSE),
    VLOOKUP(D455, 챕터!$B$4:$C$100, 2, FALSE)
  )
))</f>
        <v>5</v>
      </c>
      <c r="K455" s="57"/>
      <c r="L455"/>
      <c r="M455"/>
      <c r="N455" s="19"/>
      <c r="O455" s="1"/>
    </row>
    <row r="456" spans="2:15">
      <c r="B456" s="55">
        <v>452</v>
      </c>
      <c r="C456" t="s">
        <v>512</v>
      </c>
      <c r="D456" s="85" t="s">
        <v>26</v>
      </c>
      <c r="E456" s="59" t="s">
        <v>1</v>
      </c>
      <c r="F456" s="32">
        <v>4500</v>
      </c>
      <c r="G456" s="56">
        <v>1</v>
      </c>
      <c r="H456" s="32">
        <v>4500</v>
      </c>
      <c r="I456" s="58" t="str">
        <f t="shared" ca="1" si="7"/>
        <v>MV1_EV_27MY_KO</v>
      </c>
      <c r="J456" s="65" cm="1">
        <f t="array" ref="J456">IF(D456="","",IF(
  COUNTIF($D$5:$D$571, "Infotainment system") &gt; 0,
  VLOOKUP(D456, 챕터!$F$4:$G$100, 2, FALSE),
  IF(
    SUM(COUNTIF($D$5:$D$571, {"Hybrid system overview","Electric vehicle guide","Infotainment system"})) &gt; 0,
    VLOOKUP(D456, 챕터!$D$4:$E$100, 2, FALSE),
    VLOOKUP(D456, 챕터!$B$4:$C$100, 2, FALSE)
  )
))</f>
        <v>5</v>
      </c>
      <c r="K456" s="57"/>
      <c r="L456"/>
      <c r="M456"/>
      <c r="N456" s="19"/>
      <c r="O456" s="1"/>
    </row>
    <row r="457" spans="2:15">
      <c r="B457" s="55">
        <v>453</v>
      </c>
      <c r="C457" t="s">
        <v>513</v>
      </c>
      <c r="D457" s="85" t="s">
        <v>26</v>
      </c>
      <c r="E457" s="59" t="s">
        <v>1</v>
      </c>
      <c r="F457" s="32">
        <v>4500</v>
      </c>
      <c r="G457" s="56">
        <v>1</v>
      </c>
      <c r="H457" s="32">
        <v>4500</v>
      </c>
      <c r="I457" s="58" t="str">
        <f t="shared" ca="1" si="7"/>
        <v>MV1_EV_27MY_KO</v>
      </c>
      <c r="J457" s="65" cm="1">
        <f t="array" ref="J457">IF(D457="","",IF(
  COUNTIF($D$5:$D$571, "Infotainment system") &gt; 0,
  VLOOKUP(D457, 챕터!$F$4:$G$100, 2, FALSE),
  IF(
    SUM(COUNTIF($D$5:$D$571, {"Hybrid system overview","Electric vehicle guide","Infotainment system"})) &gt; 0,
    VLOOKUP(D457, 챕터!$D$4:$E$100, 2, FALSE),
    VLOOKUP(D457, 챕터!$B$4:$C$100, 2, FALSE)
  )
))</f>
        <v>5</v>
      </c>
      <c r="K457" s="57"/>
      <c r="L457"/>
      <c r="M457"/>
      <c r="N457" s="19"/>
      <c r="O457" s="1"/>
    </row>
    <row r="458" spans="2:15">
      <c r="B458" s="55">
        <v>454</v>
      </c>
      <c r="C458" t="s">
        <v>514</v>
      </c>
      <c r="D458" s="85" t="s">
        <v>26</v>
      </c>
      <c r="E458" s="59" t="s">
        <v>1</v>
      </c>
      <c r="F458" s="32">
        <v>4500</v>
      </c>
      <c r="G458" s="56">
        <v>1</v>
      </c>
      <c r="H458" s="32">
        <v>4500</v>
      </c>
      <c r="I458" s="58" t="str">
        <f t="shared" ca="1" si="7"/>
        <v>MV1_EV_27MY_KO</v>
      </c>
      <c r="J458" s="65" cm="1">
        <f t="array" ref="J458">IF(D458="","",IF(
  COUNTIF($D$5:$D$571, "Infotainment system") &gt; 0,
  VLOOKUP(D458, 챕터!$F$4:$G$100, 2, FALSE),
  IF(
    SUM(COUNTIF($D$5:$D$571, {"Hybrid system overview","Electric vehicle guide","Infotainment system"})) &gt; 0,
    VLOOKUP(D458, 챕터!$D$4:$E$100, 2, FALSE),
    VLOOKUP(D458, 챕터!$B$4:$C$100, 2, FALSE)
  )
))</f>
        <v>5</v>
      </c>
      <c r="K458" s="57"/>
      <c r="L458"/>
      <c r="M458"/>
      <c r="N458" s="19"/>
      <c r="O458" s="1"/>
    </row>
    <row r="459" spans="2:15">
      <c r="B459" s="55">
        <v>455</v>
      </c>
      <c r="C459" t="s">
        <v>515</v>
      </c>
      <c r="D459" s="85" t="s">
        <v>26</v>
      </c>
      <c r="E459" s="59" t="s">
        <v>1</v>
      </c>
      <c r="F459" s="32">
        <v>4500</v>
      </c>
      <c r="G459" s="56">
        <v>1</v>
      </c>
      <c r="H459" s="32">
        <v>4500</v>
      </c>
      <c r="I459" s="58" t="str">
        <f t="shared" ca="1" si="7"/>
        <v>MV1_EV_27MY_KO</v>
      </c>
      <c r="J459" s="65" cm="1">
        <f t="array" ref="J459">IF(D459="","",IF(
  COUNTIF($D$5:$D$571, "Infotainment system") &gt; 0,
  VLOOKUP(D459, 챕터!$F$4:$G$100, 2, FALSE),
  IF(
    SUM(COUNTIF($D$5:$D$571, {"Hybrid system overview","Electric vehicle guide","Infotainment system"})) &gt; 0,
    VLOOKUP(D459, 챕터!$D$4:$E$100, 2, FALSE),
    VLOOKUP(D459, 챕터!$B$4:$C$100, 2, FALSE)
  )
))</f>
        <v>5</v>
      </c>
      <c r="K459" s="57"/>
      <c r="L459"/>
      <c r="M459"/>
      <c r="N459" s="19"/>
      <c r="O459" s="1"/>
    </row>
    <row r="460" spans="2:15">
      <c r="B460" s="55">
        <v>456</v>
      </c>
      <c r="C460" t="s">
        <v>516</v>
      </c>
      <c r="D460" s="85" t="s">
        <v>26</v>
      </c>
      <c r="E460" s="59" t="s">
        <v>1</v>
      </c>
      <c r="F460" s="32">
        <v>4500</v>
      </c>
      <c r="G460" s="56">
        <v>1</v>
      </c>
      <c r="H460" s="32">
        <v>4500</v>
      </c>
      <c r="I460" s="58" t="str">
        <f t="shared" ca="1" si="7"/>
        <v>MV1_EV_27MY_KO</v>
      </c>
      <c r="J460" s="65" cm="1">
        <f t="array" ref="J460">IF(D460="","",IF(
  COUNTIF($D$5:$D$571, "Infotainment system") &gt; 0,
  VLOOKUP(D460, 챕터!$F$4:$G$100, 2, FALSE),
  IF(
    SUM(COUNTIF($D$5:$D$571, {"Hybrid system overview","Electric vehicle guide","Infotainment system"})) &gt; 0,
    VLOOKUP(D460, 챕터!$D$4:$E$100, 2, FALSE),
    VLOOKUP(D460, 챕터!$B$4:$C$100, 2, FALSE)
  )
))</f>
        <v>5</v>
      </c>
      <c r="K460" s="57"/>
      <c r="L460"/>
      <c r="M460"/>
      <c r="N460" s="19"/>
      <c r="O460" s="1"/>
    </row>
    <row r="461" spans="2:15">
      <c r="B461" s="55">
        <v>457</v>
      </c>
      <c r="C461" t="s">
        <v>517</v>
      </c>
      <c r="D461" s="85" t="s">
        <v>26</v>
      </c>
      <c r="E461" s="59" t="s">
        <v>1</v>
      </c>
      <c r="F461" s="32">
        <v>4500</v>
      </c>
      <c r="G461" s="56">
        <v>1</v>
      </c>
      <c r="H461" s="32">
        <v>4500</v>
      </c>
      <c r="I461" s="58" t="str">
        <f t="shared" ca="1" si="7"/>
        <v>MV1_EV_27MY_KO</v>
      </c>
      <c r="J461" s="65" cm="1">
        <f t="array" ref="J461">IF(D461="","",IF(
  COUNTIF($D$5:$D$571, "Infotainment system") &gt; 0,
  VLOOKUP(D461, 챕터!$F$4:$G$100, 2, FALSE),
  IF(
    SUM(COUNTIF($D$5:$D$571, {"Hybrid system overview","Electric vehicle guide","Infotainment system"})) &gt; 0,
    VLOOKUP(D461, 챕터!$D$4:$E$100, 2, FALSE),
    VLOOKUP(D461, 챕터!$B$4:$C$100, 2, FALSE)
  )
))</f>
        <v>5</v>
      </c>
      <c r="K461" s="57"/>
      <c r="L461"/>
      <c r="M461"/>
      <c r="N461" s="19"/>
      <c r="O461" s="1"/>
    </row>
    <row r="462" spans="2:15">
      <c r="B462" s="55">
        <v>458</v>
      </c>
      <c r="C462" t="s">
        <v>518</v>
      </c>
      <c r="D462" s="85" t="s">
        <v>26</v>
      </c>
      <c r="E462" s="59" t="s">
        <v>1</v>
      </c>
      <c r="F462" s="32">
        <v>4500</v>
      </c>
      <c r="G462" s="56">
        <v>1</v>
      </c>
      <c r="H462" s="32">
        <v>4500</v>
      </c>
      <c r="I462" s="58" t="str">
        <f t="shared" ca="1" si="7"/>
        <v>MV1_EV_27MY_KO</v>
      </c>
      <c r="J462" s="65" cm="1">
        <f t="array" ref="J462">IF(D462="","",IF(
  COUNTIF($D$5:$D$571, "Infotainment system") &gt; 0,
  VLOOKUP(D462, 챕터!$F$4:$G$100, 2, FALSE),
  IF(
    SUM(COUNTIF($D$5:$D$571, {"Hybrid system overview","Electric vehicle guide","Infotainment system"})) &gt; 0,
    VLOOKUP(D462, 챕터!$D$4:$E$100, 2, FALSE),
    VLOOKUP(D462, 챕터!$B$4:$C$100, 2, FALSE)
  )
))</f>
        <v>5</v>
      </c>
      <c r="K462" s="57"/>
      <c r="L462"/>
      <c r="M462"/>
      <c r="N462" s="19"/>
      <c r="O462" s="1"/>
    </row>
    <row r="463" spans="2:15">
      <c r="B463" s="55">
        <v>459</v>
      </c>
      <c r="C463" t="s">
        <v>519</v>
      </c>
      <c r="D463" s="85" t="s">
        <v>26</v>
      </c>
      <c r="E463" s="59" t="s">
        <v>1</v>
      </c>
      <c r="F463" s="32">
        <v>4500</v>
      </c>
      <c r="G463" s="56">
        <v>1</v>
      </c>
      <c r="H463" s="32">
        <v>4500</v>
      </c>
      <c r="I463" s="58" t="str">
        <f t="shared" ca="1" si="7"/>
        <v>MV1_EV_27MY_KO</v>
      </c>
      <c r="J463" s="65" cm="1">
        <f t="array" ref="J463">IF(D463="","",IF(
  COUNTIF($D$5:$D$571, "Infotainment system") &gt; 0,
  VLOOKUP(D463, 챕터!$F$4:$G$100, 2, FALSE),
  IF(
    SUM(COUNTIF($D$5:$D$571, {"Hybrid system overview","Electric vehicle guide","Infotainment system"})) &gt; 0,
    VLOOKUP(D463, 챕터!$D$4:$E$100, 2, FALSE),
    VLOOKUP(D463, 챕터!$B$4:$C$100, 2, FALSE)
  )
))</f>
        <v>5</v>
      </c>
      <c r="K463" s="57"/>
      <c r="L463"/>
      <c r="M463"/>
      <c r="N463" s="19"/>
      <c r="O463" s="1"/>
    </row>
    <row r="464" spans="2:15">
      <c r="B464" s="55">
        <v>460</v>
      </c>
      <c r="C464" t="s">
        <v>520</v>
      </c>
      <c r="D464" s="85" t="s">
        <v>26</v>
      </c>
      <c r="E464" s="59" t="s">
        <v>1</v>
      </c>
      <c r="F464" s="32">
        <v>4500</v>
      </c>
      <c r="G464" s="56">
        <v>1</v>
      </c>
      <c r="H464" s="32">
        <v>4500</v>
      </c>
      <c r="I464" s="58" t="str">
        <f t="shared" ca="1" si="7"/>
        <v>MV1_EV_27MY_KO</v>
      </c>
      <c r="J464" s="65" cm="1">
        <f t="array" ref="J464">IF(D464="","",IF(
  COUNTIF($D$5:$D$571, "Infotainment system") &gt; 0,
  VLOOKUP(D464, 챕터!$F$4:$G$100, 2, FALSE),
  IF(
    SUM(COUNTIF($D$5:$D$571, {"Hybrid system overview","Electric vehicle guide","Infotainment system"})) &gt; 0,
    VLOOKUP(D464, 챕터!$D$4:$E$100, 2, FALSE),
    VLOOKUP(D464, 챕터!$B$4:$C$100, 2, FALSE)
  )
))</f>
        <v>5</v>
      </c>
      <c r="K464" s="57"/>
      <c r="L464"/>
      <c r="M464"/>
      <c r="N464" s="19"/>
      <c r="O464" s="1"/>
    </row>
    <row r="465" spans="2:15">
      <c r="B465" s="55">
        <v>461</v>
      </c>
      <c r="C465" t="s">
        <v>521</v>
      </c>
      <c r="D465" s="85" t="s">
        <v>26</v>
      </c>
      <c r="E465" s="59" t="s">
        <v>1</v>
      </c>
      <c r="F465" s="32">
        <v>4500</v>
      </c>
      <c r="G465" s="56">
        <v>1</v>
      </c>
      <c r="H465" s="32">
        <v>4500</v>
      </c>
      <c r="I465" s="58" t="str">
        <f t="shared" ca="1" si="7"/>
        <v>MV1_EV_27MY_KO</v>
      </c>
      <c r="J465" s="65" cm="1">
        <f t="array" ref="J465">IF(D465="","",IF(
  COUNTIF($D$5:$D$571, "Infotainment system") &gt; 0,
  VLOOKUP(D465, 챕터!$F$4:$G$100, 2, FALSE),
  IF(
    SUM(COUNTIF($D$5:$D$571, {"Hybrid system overview","Electric vehicle guide","Infotainment system"})) &gt; 0,
    VLOOKUP(D465, 챕터!$D$4:$E$100, 2, FALSE),
    VLOOKUP(D465, 챕터!$B$4:$C$100, 2, FALSE)
  )
))</f>
        <v>5</v>
      </c>
      <c r="K465" s="57"/>
      <c r="L465"/>
      <c r="M465"/>
      <c r="N465" s="19"/>
      <c r="O465" s="1"/>
    </row>
    <row r="466" spans="2:15">
      <c r="B466" s="55">
        <v>462</v>
      </c>
      <c r="C466" t="s">
        <v>522</v>
      </c>
      <c r="D466" s="85" t="s">
        <v>26</v>
      </c>
      <c r="E466" s="59" t="s">
        <v>1</v>
      </c>
      <c r="F466" s="32">
        <v>4500</v>
      </c>
      <c r="G466" s="56">
        <v>1</v>
      </c>
      <c r="H466" s="32">
        <v>4500</v>
      </c>
      <c r="I466" s="58" t="str">
        <f t="shared" ca="1" si="7"/>
        <v>MV1_EV_27MY_KO</v>
      </c>
      <c r="J466" s="65" cm="1">
        <f t="array" ref="J466">IF(D466="","",IF(
  COUNTIF($D$5:$D$571, "Infotainment system") &gt; 0,
  VLOOKUP(D466, 챕터!$F$4:$G$100, 2, FALSE),
  IF(
    SUM(COUNTIF($D$5:$D$571, {"Hybrid system overview","Electric vehicle guide","Infotainment system"})) &gt; 0,
    VLOOKUP(D466, 챕터!$D$4:$E$100, 2, FALSE),
    VLOOKUP(D466, 챕터!$B$4:$C$100, 2, FALSE)
  )
))</f>
        <v>5</v>
      </c>
      <c r="K466" s="57"/>
      <c r="L466"/>
      <c r="M466"/>
      <c r="N466" s="19"/>
      <c r="O466" s="1"/>
    </row>
    <row r="467" spans="2:15">
      <c r="B467" s="55">
        <v>463</v>
      </c>
      <c r="C467" t="s">
        <v>523</v>
      </c>
      <c r="D467" s="85" t="s">
        <v>26</v>
      </c>
      <c r="E467" s="59" t="s">
        <v>1</v>
      </c>
      <c r="F467" s="32">
        <v>4500</v>
      </c>
      <c r="G467" s="56">
        <v>1</v>
      </c>
      <c r="H467" s="32">
        <v>4500</v>
      </c>
      <c r="I467" s="58" t="str">
        <f t="shared" ca="1" si="7"/>
        <v>MV1_EV_27MY_KO</v>
      </c>
      <c r="J467" s="65" cm="1">
        <f t="array" ref="J467">IF(D467="","",IF(
  COUNTIF($D$5:$D$571, "Infotainment system") &gt; 0,
  VLOOKUP(D467, 챕터!$F$4:$G$100, 2, FALSE),
  IF(
    SUM(COUNTIF($D$5:$D$571, {"Hybrid system overview","Electric vehicle guide","Infotainment system"})) &gt; 0,
    VLOOKUP(D467, 챕터!$D$4:$E$100, 2, FALSE),
    VLOOKUP(D467, 챕터!$B$4:$C$100, 2, FALSE)
  )
))</f>
        <v>5</v>
      </c>
      <c r="K467" s="57"/>
      <c r="L467"/>
      <c r="M467"/>
      <c r="N467" s="19"/>
      <c r="O467" s="1"/>
    </row>
    <row r="468" spans="2:15">
      <c r="B468" s="55">
        <v>464</v>
      </c>
      <c r="C468" t="s">
        <v>524</v>
      </c>
      <c r="D468" s="85" t="s">
        <v>26</v>
      </c>
      <c r="E468" s="59" t="s">
        <v>1</v>
      </c>
      <c r="F468" s="32">
        <v>4500</v>
      </c>
      <c r="G468" s="56">
        <v>1</v>
      </c>
      <c r="H468" s="32">
        <v>4500</v>
      </c>
      <c r="I468" s="58" t="str">
        <f t="shared" ca="1" si="7"/>
        <v>MV1_EV_27MY_KO</v>
      </c>
      <c r="J468" s="65" cm="1">
        <f t="array" ref="J468">IF(D468="","",IF(
  COUNTIF($D$5:$D$571, "Infotainment system") &gt; 0,
  VLOOKUP(D468, 챕터!$F$4:$G$100, 2, FALSE),
  IF(
    SUM(COUNTIF($D$5:$D$571, {"Hybrid system overview","Electric vehicle guide","Infotainment system"})) &gt; 0,
    VLOOKUP(D468, 챕터!$D$4:$E$100, 2, FALSE),
    VLOOKUP(D468, 챕터!$B$4:$C$100, 2, FALSE)
  )
))</f>
        <v>5</v>
      </c>
      <c r="K468" s="57"/>
      <c r="L468"/>
      <c r="M468"/>
      <c r="N468" s="19"/>
      <c r="O468" s="1"/>
    </row>
    <row r="469" spans="2:15">
      <c r="B469" s="55">
        <v>465</v>
      </c>
      <c r="C469" t="s">
        <v>525</v>
      </c>
      <c r="D469" s="85" t="s">
        <v>26</v>
      </c>
      <c r="E469" s="59" t="s">
        <v>1</v>
      </c>
      <c r="F469" s="32">
        <v>4500</v>
      </c>
      <c r="G469" s="56">
        <v>1</v>
      </c>
      <c r="H469" s="32">
        <v>4500</v>
      </c>
      <c r="I469" s="58" t="str">
        <f t="shared" ca="1" si="7"/>
        <v>MV1_EV_27MY_KO</v>
      </c>
      <c r="J469" s="65" cm="1">
        <f t="array" ref="J469">IF(D469="","",IF(
  COUNTIF($D$5:$D$571, "Infotainment system") &gt; 0,
  VLOOKUP(D469, 챕터!$F$4:$G$100, 2, FALSE),
  IF(
    SUM(COUNTIF($D$5:$D$571, {"Hybrid system overview","Electric vehicle guide","Infotainment system"})) &gt; 0,
    VLOOKUP(D469, 챕터!$D$4:$E$100, 2, FALSE),
    VLOOKUP(D469, 챕터!$B$4:$C$100, 2, FALSE)
  )
))</f>
        <v>5</v>
      </c>
      <c r="K469" s="57"/>
      <c r="L469"/>
      <c r="M469"/>
      <c r="N469" s="19"/>
      <c r="O469" s="1"/>
    </row>
    <row r="470" spans="2:15">
      <c r="B470" s="55">
        <v>466</v>
      </c>
      <c r="C470" t="s">
        <v>526</v>
      </c>
      <c r="D470" s="85" t="s">
        <v>26</v>
      </c>
      <c r="E470" s="59" t="s">
        <v>1</v>
      </c>
      <c r="F470" s="32">
        <v>4500</v>
      </c>
      <c r="G470" s="56">
        <v>1</v>
      </c>
      <c r="H470" s="32">
        <v>4500</v>
      </c>
      <c r="I470" s="58" t="str">
        <f t="shared" ca="1" si="7"/>
        <v>MV1_EV_27MY_KO</v>
      </c>
      <c r="J470" s="65" cm="1">
        <f t="array" ref="J470">IF(D470="","",IF(
  COUNTIF($D$5:$D$571, "Infotainment system") &gt; 0,
  VLOOKUP(D470, 챕터!$F$4:$G$100, 2, FALSE),
  IF(
    SUM(COUNTIF($D$5:$D$571, {"Hybrid system overview","Electric vehicle guide","Infotainment system"})) &gt; 0,
    VLOOKUP(D470, 챕터!$D$4:$E$100, 2, FALSE),
    VLOOKUP(D470, 챕터!$B$4:$C$100, 2, FALSE)
  )
))</f>
        <v>5</v>
      </c>
      <c r="K470" s="57"/>
      <c r="L470"/>
      <c r="M470"/>
      <c r="N470" s="19"/>
      <c r="O470" s="1"/>
    </row>
    <row r="471" spans="2:15">
      <c r="B471" s="55">
        <v>467</v>
      </c>
      <c r="C471" t="s">
        <v>527</v>
      </c>
      <c r="D471" s="85" t="s">
        <v>26</v>
      </c>
      <c r="E471" s="59" t="s">
        <v>1</v>
      </c>
      <c r="F471" s="32">
        <v>4500</v>
      </c>
      <c r="G471" s="56">
        <v>1</v>
      </c>
      <c r="H471" s="32">
        <v>4500</v>
      </c>
      <c r="I471" s="58" t="str">
        <f t="shared" ca="1" si="7"/>
        <v>MV1_EV_27MY_KO</v>
      </c>
      <c r="J471" s="65" cm="1">
        <f t="array" ref="J471">IF(D471="","",IF(
  COUNTIF($D$5:$D$571, "Infotainment system") &gt; 0,
  VLOOKUP(D471, 챕터!$F$4:$G$100, 2, FALSE),
  IF(
    SUM(COUNTIF($D$5:$D$571, {"Hybrid system overview","Electric vehicle guide","Infotainment system"})) &gt; 0,
    VLOOKUP(D471, 챕터!$D$4:$E$100, 2, FALSE),
    VLOOKUP(D471, 챕터!$B$4:$C$100, 2, FALSE)
  )
))</f>
        <v>5</v>
      </c>
      <c r="K471" s="57"/>
      <c r="L471"/>
      <c r="M471"/>
      <c r="N471" s="19"/>
      <c r="O471" s="1"/>
    </row>
    <row r="472" spans="2:15">
      <c r="B472" s="55">
        <v>468</v>
      </c>
      <c r="C472" t="s">
        <v>528</v>
      </c>
      <c r="D472" s="85" t="s">
        <v>26</v>
      </c>
      <c r="E472" s="59" t="s">
        <v>1</v>
      </c>
      <c r="F472" s="32">
        <v>4500</v>
      </c>
      <c r="G472" s="56">
        <v>1</v>
      </c>
      <c r="H472" s="32">
        <v>4500</v>
      </c>
      <c r="I472" s="58" t="str">
        <f t="shared" ca="1" si="7"/>
        <v>MV1_EV_27MY_KO</v>
      </c>
      <c r="J472" s="65" cm="1">
        <f t="array" ref="J472">IF(D472="","",IF(
  COUNTIF($D$5:$D$571, "Infotainment system") &gt; 0,
  VLOOKUP(D472, 챕터!$F$4:$G$100, 2, FALSE),
  IF(
    SUM(COUNTIF($D$5:$D$571, {"Hybrid system overview","Electric vehicle guide","Infotainment system"})) &gt; 0,
    VLOOKUP(D472, 챕터!$D$4:$E$100, 2, FALSE),
    VLOOKUP(D472, 챕터!$B$4:$C$100, 2, FALSE)
  )
))</f>
        <v>5</v>
      </c>
      <c r="K472" s="57"/>
      <c r="L472"/>
      <c r="M472"/>
      <c r="N472" s="19"/>
      <c r="O472" s="1"/>
    </row>
    <row r="473" spans="2:15">
      <c r="B473" s="55">
        <v>469</v>
      </c>
      <c r="C473" t="s">
        <v>529</v>
      </c>
      <c r="D473" s="85" t="s">
        <v>26</v>
      </c>
      <c r="E473" s="59" t="s">
        <v>1</v>
      </c>
      <c r="F473" s="32">
        <v>4500</v>
      </c>
      <c r="G473" s="56">
        <v>1</v>
      </c>
      <c r="H473" s="32">
        <v>4500</v>
      </c>
      <c r="I473" s="58" t="str">
        <f t="shared" ca="1" si="7"/>
        <v>MV1_EV_27MY_KO</v>
      </c>
      <c r="J473" s="65" cm="1">
        <f t="array" ref="J473">IF(D473="","",IF(
  COUNTIF($D$5:$D$571, "Infotainment system") &gt; 0,
  VLOOKUP(D473, 챕터!$F$4:$G$100, 2, FALSE),
  IF(
    SUM(COUNTIF($D$5:$D$571, {"Hybrid system overview","Electric vehicle guide","Infotainment system"})) &gt; 0,
    VLOOKUP(D473, 챕터!$D$4:$E$100, 2, FALSE),
    VLOOKUP(D473, 챕터!$B$4:$C$100, 2, FALSE)
  )
))</f>
        <v>5</v>
      </c>
      <c r="K473" s="57"/>
      <c r="L473"/>
      <c r="M473"/>
      <c r="N473" s="19"/>
      <c r="O473" s="1"/>
    </row>
    <row r="474" spans="2:15">
      <c r="B474" s="55">
        <v>470</v>
      </c>
      <c r="C474" t="s">
        <v>530</v>
      </c>
      <c r="D474" s="85" t="s">
        <v>26</v>
      </c>
      <c r="E474" s="59" t="s">
        <v>1</v>
      </c>
      <c r="F474" s="32">
        <v>4500</v>
      </c>
      <c r="G474" s="56">
        <v>1</v>
      </c>
      <c r="H474" s="32">
        <v>4500</v>
      </c>
      <c r="I474" s="58" t="str">
        <f t="shared" ca="1" si="7"/>
        <v>MV1_EV_27MY_KO</v>
      </c>
      <c r="J474" s="65" cm="1">
        <f t="array" ref="J474">IF(D474="","",IF(
  COUNTIF($D$5:$D$571, "Infotainment system") &gt; 0,
  VLOOKUP(D474, 챕터!$F$4:$G$100, 2, FALSE),
  IF(
    SUM(COUNTIF($D$5:$D$571, {"Hybrid system overview","Electric vehicle guide","Infotainment system"})) &gt; 0,
    VLOOKUP(D474, 챕터!$D$4:$E$100, 2, FALSE),
    VLOOKUP(D474, 챕터!$B$4:$C$100, 2, FALSE)
  )
))</f>
        <v>5</v>
      </c>
      <c r="K474" s="57"/>
      <c r="L474"/>
      <c r="M474"/>
      <c r="N474" s="19"/>
      <c r="O474" s="1"/>
    </row>
    <row r="475" spans="2:15">
      <c r="B475" s="55">
        <v>471</v>
      </c>
      <c r="C475" t="s">
        <v>531</v>
      </c>
      <c r="D475" s="85" t="s">
        <v>26</v>
      </c>
      <c r="E475" s="59" t="s">
        <v>1</v>
      </c>
      <c r="F475" s="32">
        <v>4500</v>
      </c>
      <c r="G475" s="56">
        <v>1</v>
      </c>
      <c r="H475" s="32">
        <v>4500</v>
      </c>
      <c r="I475" s="58" t="str">
        <f t="shared" ca="1" si="7"/>
        <v>MV1_EV_27MY_KO</v>
      </c>
      <c r="J475" s="65" cm="1">
        <f t="array" ref="J475">IF(D475="","",IF(
  COUNTIF($D$5:$D$571, "Infotainment system") &gt; 0,
  VLOOKUP(D475, 챕터!$F$4:$G$100, 2, FALSE),
  IF(
    SUM(COUNTIF($D$5:$D$571, {"Hybrid system overview","Electric vehicle guide","Infotainment system"})) &gt; 0,
    VLOOKUP(D475, 챕터!$D$4:$E$100, 2, FALSE),
    VLOOKUP(D475, 챕터!$B$4:$C$100, 2, FALSE)
  )
))</f>
        <v>5</v>
      </c>
      <c r="K475" s="57"/>
      <c r="L475"/>
      <c r="M475"/>
      <c r="N475" s="19"/>
      <c r="O475" s="1"/>
    </row>
    <row r="476" spans="2:15">
      <c r="B476" s="55">
        <v>472</v>
      </c>
      <c r="C476" t="s">
        <v>532</v>
      </c>
      <c r="D476" s="85" t="s">
        <v>26</v>
      </c>
      <c r="E476" s="59" t="s">
        <v>1</v>
      </c>
      <c r="F476" s="32">
        <v>4500</v>
      </c>
      <c r="G476" s="56">
        <v>1</v>
      </c>
      <c r="H476" s="32">
        <v>4500</v>
      </c>
      <c r="I476" s="58" t="str">
        <f t="shared" ca="1" si="7"/>
        <v>MV1_EV_27MY_KO</v>
      </c>
      <c r="J476" s="65" cm="1">
        <f t="array" ref="J476">IF(D476="","",IF(
  COUNTIF($D$5:$D$571, "Infotainment system") &gt; 0,
  VLOOKUP(D476, 챕터!$F$4:$G$100, 2, FALSE),
  IF(
    SUM(COUNTIF($D$5:$D$571, {"Hybrid system overview","Electric vehicle guide","Infotainment system"})) &gt; 0,
    VLOOKUP(D476, 챕터!$D$4:$E$100, 2, FALSE),
    VLOOKUP(D476, 챕터!$B$4:$C$100, 2, FALSE)
  )
))</f>
        <v>5</v>
      </c>
      <c r="K476" s="57"/>
      <c r="L476"/>
      <c r="M476"/>
      <c r="N476" s="19"/>
      <c r="O476" s="1"/>
    </row>
    <row r="477" spans="2:15">
      <c r="B477" s="55">
        <v>473</v>
      </c>
      <c r="C477" t="s">
        <v>533</v>
      </c>
      <c r="D477" s="85" t="s">
        <v>26</v>
      </c>
      <c r="E477" s="59" t="s">
        <v>1</v>
      </c>
      <c r="F477" s="32">
        <v>4500</v>
      </c>
      <c r="G477" s="56">
        <v>1</v>
      </c>
      <c r="H477" s="32">
        <v>4500</v>
      </c>
      <c r="I477" s="58" t="str">
        <f t="shared" ca="1" si="7"/>
        <v>MV1_EV_27MY_KO</v>
      </c>
      <c r="J477" s="65" cm="1">
        <f t="array" ref="J477">IF(D477="","",IF(
  COUNTIF($D$5:$D$571, "Infotainment system") &gt; 0,
  VLOOKUP(D477, 챕터!$F$4:$G$100, 2, FALSE),
  IF(
    SUM(COUNTIF($D$5:$D$571, {"Hybrid system overview","Electric vehicle guide","Infotainment system"})) &gt; 0,
    VLOOKUP(D477, 챕터!$D$4:$E$100, 2, FALSE),
    VLOOKUP(D477, 챕터!$B$4:$C$100, 2, FALSE)
  )
))</f>
        <v>5</v>
      </c>
      <c r="K477" s="57"/>
      <c r="L477"/>
      <c r="M477"/>
      <c r="N477" s="19"/>
      <c r="O477" s="1"/>
    </row>
    <row r="478" spans="2:15">
      <c r="B478" s="55">
        <v>474</v>
      </c>
      <c r="C478" t="s">
        <v>534</v>
      </c>
      <c r="D478" s="85" t="s">
        <v>26</v>
      </c>
      <c r="E478" s="59" t="s">
        <v>1</v>
      </c>
      <c r="F478" s="32">
        <v>4500</v>
      </c>
      <c r="G478" s="56">
        <v>1</v>
      </c>
      <c r="H478" s="32">
        <v>4500</v>
      </c>
      <c r="I478" s="58" t="str">
        <f t="shared" ca="1" si="7"/>
        <v>MV1_EV_27MY_KO</v>
      </c>
      <c r="J478" s="65" cm="1">
        <f t="array" ref="J478">IF(D478="","",IF(
  COUNTIF($D$5:$D$571, "Infotainment system") &gt; 0,
  VLOOKUP(D478, 챕터!$F$4:$G$100, 2, FALSE),
  IF(
    SUM(COUNTIF($D$5:$D$571, {"Hybrid system overview","Electric vehicle guide","Infotainment system"})) &gt; 0,
    VLOOKUP(D478, 챕터!$D$4:$E$100, 2, FALSE),
    VLOOKUP(D478, 챕터!$B$4:$C$100, 2, FALSE)
  )
))</f>
        <v>5</v>
      </c>
      <c r="K478" s="57"/>
      <c r="L478"/>
      <c r="M478"/>
      <c r="N478" s="19"/>
      <c r="O478" s="1"/>
    </row>
    <row r="479" spans="2:15">
      <c r="B479" s="55">
        <v>475</v>
      </c>
      <c r="C479" t="s">
        <v>535</v>
      </c>
      <c r="D479" s="85" t="s">
        <v>26</v>
      </c>
      <c r="E479" s="59" t="s">
        <v>1</v>
      </c>
      <c r="F479" s="32">
        <v>4500</v>
      </c>
      <c r="G479" s="56">
        <v>1</v>
      </c>
      <c r="H479" s="32">
        <v>4500</v>
      </c>
      <c r="I479" s="58" t="str">
        <f t="shared" ca="1" si="7"/>
        <v>MV1_EV_27MY_KO</v>
      </c>
      <c r="J479" s="65" cm="1">
        <f t="array" ref="J479">IF(D479="","",IF(
  COUNTIF($D$5:$D$571, "Infotainment system") &gt; 0,
  VLOOKUP(D479, 챕터!$F$4:$G$100, 2, FALSE),
  IF(
    SUM(COUNTIF($D$5:$D$571, {"Hybrid system overview","Electric vehicle guide","Infotainment system"})) &gt; 0,
    VLOOKUP(D479, 챕터!$D$4:$E$100, 2, FALSE),
    VLOOKUP(D479, 챕터!$B$4:$C$100, 2, FALSE)
  )
))</f>
        <v>5</v>
      </c>
      <c r="K479" s="57"/>
      <c r="L479"/>
      <c r="M479"/>
      <c r="N479" s="19"/>
      <c r="O479" s="1"/>
    </row>
    <row r="480" spans="2:15">
      <c r="B480" s="55">
        <v>476</v>
      </c>
      <c r="C480" t="s">
        <v>536</v>
      </c>
      <c r="D480" s="85" t="s">
        <v>26</v>
      </c>
      <c r="E480" s="59" t="s">
        <v>1</v>
      </c>
      <c r="F480" s="32">
        <v>4500</v>
      </c>
      <c r="G480" s="56">
        <v>1</v>
      </c>
      <c r="H480" s="32">
        <v>4500</v>
      </c>
      <c r="I480" s="58" t="str">
        <f t="shared" ca="1" si="7"/>
        <v>MV1_EV_27MY_KO</v>
      </c>
      <c r="J480" s="65" cm="1">
        <f t="array" ref="J480">IF(D480="","",IF(
  COUNTIF($D$5:$D$571, "Infotainment system") &gt; 0,
  VLOOKUP(D480, 챕터!$F$4:$G$100, 2, FALSE),
  IF(
    SUM(COUNTIF($D$5:$D$571, {"Hybrid system overview","Electric vehicle guide","Infotainment system"})) &gt; 0,
    VLOOKUP(D480, 챕터!$D$4:$E$100, 2, FALSE),
    VLOOKUP(D480, 챕터!$B$4:$C$100, 2, FALSE)
  )
))</f>
        <v>5</v>
      </c>
      <c r="K480" s="57"/>
      <c r="L480"/>
      <c r="M480"/>
      <c r="N480" s="19"/>
      <c r="O480" s="1"/>
    </row>
    <row r="481" spans="2:15">
      <c r="B481" s="55">
        <v>477</v>
      </c>
      <c r="C481" t="s">
        <v>537</v>
      </c>
      <c r="D481" s="85" t="s">
        <v>26</v>
      </c>
      <c r="E481" s="59" t="s">
        <v>1</v>
      </c>
      <c r="F481" s="32">
        <v>4500</v>
      </c>
      <c r="G481" s="56">
        <v>1</v>
      </c>
      <c r="H481" s="32">
        <v>4500</v>
      </c>
      <c r="I481" s="58" t="str">
        <f t="shared" ca="1" si="7"/>
        <v>MV1_EV_27MY_KO</v>
      </c>
      <c r="J481" s="65" cm="1">
        <f t="array" ref="J481">IF(D481="","",IF(
  COUNTIF($D$5:$D$571, "Infotainment system") &gt; 0,
  VLOOKUP(D481, 챕터!$F$4:$G$100, 2, FALSE),
  IF(
    SUM(COUNTIF($D$5:$D$571, {"Hybrid system overview","Electric vehicle guide","Infotainment system"})) &gt; 0,
    VLOOKUP(D481, 챕터!$D$4:$E$100, 2, FALSE),
    VLOOKUP(D481, 챕터!$B$4:$C$100, 2, FALSE)
  )
))</f>
        <v>5</v>
      </c>
      <c r="K481" s="57"/>
      <c r="L481"/>
      <c r="M481"/>
      <c r="N481" s="19"/>
      <c r="O481" s="1"/>
    </row>
    <row r="482" spans="2:15">
      <c r="B482" s="55">
        <v>478</v>
      </c>
      <c r="C482" t="s">
        <v>538</v>
      </c>
      <c r="D482" s="85" t="s">
        <v>26</v>
      </c>
      <c r="E482" s="59" t="s">
        <v>1</v>
      </c>
      <c r="F482" s="32">
        <v>4500</v>
      </c>
      <c r="G482" s="56">
        <v>1</v>
      </c>
      <c r="H482" s="32">
        <v>4500</v>
      </c>
      <c r="I482" s="58" t="str">
        <f t="shared" ca="1" si="7"/>
        <v>MV1_EV_27MY_KO</v>
      </c>
      <c r="J482" s="65" cm="1">
        <f t="array" ref="J482">IF(D482="","",IF(
  COUNTIF($D$5:$D$571, "Infotainment system") &gt; 0,
  VLOOKUP(D482, 챕터!$F$4:$G$100, 2, FALSE),
  IF(
    SUM(COUNTIF($D$5:$D$571, {"Hybrid system overview","Electric vehicle guide","Infotainment system"})) &gt; 0,
    VLOOKUP(D482, 챕터!$D$4:$E$100, 2, FALSE),
    VLOOKUP(D482, 챕터!$B$4:$C$100, 2, FALSE)
  )
))</f>
        <v>5</v>
      </c>
      <c r="K482" s="57"/>
      <c r="L482"/>
      <c r="M482"/>
      <c r="N482" s="19"/>
      <c r="O482" s="1"/>
    </row>
    <row r="483" spans="2:15">
      <c r="B483" s="55">
        <v>479</v>
      </c>
      <c r="C483" t="s">
        <v>539</v>
      </c>
      <c r="D483" s="85" t="s">
        <v>26</v>
      </c>
      <c r="E483" s="59" t="s">
        <v>1</v>
      </c>
      <c r="F483" s="32">
        <v>4500</v>
      </c>
      <c r="G483" s="56">
        <v>1</v>
      </c>
      <c r="H483" s="32">
        <v>4500</v>
      </c>
      <c r="I483" s="58" t="str">
        <f t="shared" ca="1" si="7"/>
        <v>MV1_EV_27MY_KO</v>
      </c>
      <c r="J483" s="65" cm="1">
        <f t="array" ref="J483">IF(D483="","",IF(
  COUNTIF($D$5:$D$571, "Infotainment system") &gt; 0,
  VLOOKUP(D483, 챕터!$F$4:$G$100, 2, FALSE),
  IF(
    SUM(COUNTIF($D$5:$D$571, {"Hybrid system overview","Electric vehicle guide","Infotainment system"})) &gt; 0,
    VLOOKUP(D483, 챕터!$D$4:$E$100, 2, FALSE),
    VLOOKUP(D483, 챕터!$B$4:$C$100, 2, FALSE)
  )
))</f>
        <v>5</v>
      </c>
      <c r="K483" s="57"/>
      <c r="L483"/>
      <c r="M483"/>
      <c r="N483" s="19"/>
      <c r="O483" s="1"/>
    </row>
    <row r="484" spans="2:15">
      <c r="B484" s="55">
        <v>480</v>
      </c>
      <c r="C484" t="s">
        <v>540</v>
      </c>
      <c r="D484" s="85" t="s">
        <v>26</v>
      </c>
      <c r="E484" s="59" t="s">
        <v>1</v>
      </c>
      <c r="F484" s="32">
        <v>4500</v>
      </c>
      <c r="G484" s="56">
        <v>1</v>
      </c>
      <c r="H484" s="32">
        <v>4500</v>
      </c>
      <c r="I484" s="58" t="str">
        <f t="shared" ca="1" si="7"/>
        <v>MV1_EV_27MY_KO</v>
      </c>
      <c r="J484" s="65" cm="1">
        <f t="array" ref="J484">IF(D484="","",IF(
  COUNTIF($D$5:$D$571, "Infotainment system") &gt; 0,
  VLOOKUP(D484, 챕터!$F$4:$G$100, 2, FALSE),
  IF(
    SUM(COUNTIF($D$5:$D$571, {"Hybrid system overview","Electric vehicle guide","Infotainment system"})) &gt; 0,
    VLOOKUP(D484, 챕터!$D$4:$E$100, 2, FALSE),
    VLOOKUP(D484, 챕터!$B$4:$C$100, 2, FALSE)
  )
))</f>
        <v>5</v>
      </c>
      <c r="K484" s="57"/>
      <c r="L484"/>
      <c r="M484"/>
      <c r="N484" s="19"/>
      <c r="O484" s="1"/>
    </row>
    <row r="485" spans="2:15">
      <c r="B485" s="55">
        <v>481</v>
      </c>
      <c r="C485" t="s">
        <v>541</v>
      </c>
      <c r="D485" s="85" t="s">
        <v>26</v>
      </c>
      <c r="E485" s="59" t="s">
        <v>1</v>
      </c>
      <c r="F485" s="32">
        <v>4500</v>
      </c>
      <c r="G485" s="56">
        <v>1</v>
      </c>
      <c r="H485" s="32">
        <v>4500</v>
      </c>
      <c r="I485" s="58" t="str">
        <f t="shared" ca="1" si="7"/>
        <v>MV1_EV_27MY_KO</v>
      </c>
      <c r="J485" s="65" cm="1">
        <f t="array" ref="J485">IF(D485="","",IF(
  COUNTIF($D$5:$D$571, "Infotainment system") &gt; 0,
  VLOOKUP(D485, 챕터!$F$4:$G$100, 2, FALSE),
  IF(
    SUM(COUNTIF($D$5:$D$571, {"Hybrid system overview","Electric vehicle guide","Infotainment system"})) &gt; 0,
    VLOOKUP(D485, 챕터!$D$4:$E$100, 2, FALSE),
    VLOOKUP(D485, 챕터!$B$4:$C$100, 2, FALSE)
  )
))</f>
        <v>5</v>
      </c>
      <c r="K485" s="57"/>
      <c r="L485"/>
      <c r="M485"/>
      <c r="N485" s="19"/>
      <c r="O485" s="1"/>
    </row>
    <row r="486" spans="2:15">
      <c r="B486" s="55">
        <v>482</v>
      </c>
      <c r="C486" t="s">
        <v>542</v>
      </c>
      <c r="D486" s="85" t="s">
        <v>26</v>
      </c>
      <c r="E486" s="59" t="s">
        <v>1</v>
      </c>
      <c r="F486" s="32">
        <v>4500</v>
      </c>
      <c r="G486" s="56">
        <v>1</v>
      </c>
      <c r="H486" s="32">
        <v>4500</v>
      </c>
      <c r="I486" s="58" t="str">
        <f t="shared" ca="1" si="7"/>
        <v>MV1_EV_27MY_KO</v>
      </c>
      <c r="J486" s="65" cm="1">
        <f t="array" ref="J486">IF(D486="","",IF(
  COUNTIF($D$5:$D$571, "Infotainment system") &gt; 0,
  VLOOKUP(D486, 챕터!$F$4:$G$100, 2, FALSE),
  IF(
    SUM(COUNTIF($D$5:$D$571, {"Hybrid system overview","Electric vehicle guide","Infotainment system"})) &gt; 0,
    VLOOKUP(D486, 챕터!$D$4:$E$100, 2, FALSE),
    VLOOKUP(D486, 챕터!$B$4:$C$100, 2, FALSE)
  )
))</f>
        <v>5</v>
      </c>
      <c r="K486" s="57"/>
      <c r="L486"/>
      <c r="M486"/>
      <c r="N486" s="19"/>
      <c r="O486" s="1"/>
    </row>
    <row r="487" spans="2:15">
      <c r="B487" s="55">
        <v>483</v>
      </c>
      <c r="C487" t="s">
        <v>543</v>
      </c>
      <c r="D487" s="85" t="s">
        <v>26</v>
      </c>
      <c r="E487" s="59" t="s">
        <v>1</v>
      </c>
      <c r="F487" s="32">
        <v>4500</v>
      </c>
      <c r="G487" s="56">
        <v>1</v>
      </c>
      <c r="H487" s="32">
        <v>4500</v>
      </c>
      <c r="I487" s="58" t="str">
        <f t="shared" ca="1" si="7"/>
        <v>MV1_EV_27MY_KO</v>
      </c>
      <c r="J487" s="65" cm="1">
        <f t="array" ref="J487">IF(D487="","",IF(
  COUNTIF($D$5:$D$571, "Infotainment system") &gt; 0,
  VLOOKUP(D487, 챕터!$F$4:$G$100, 2, FALSE),
  IF(
    SUM(COUNTIF($D$5:$D$571, {"Hybrid system overview","Electric vehicle guide","Infotainment system"})) &gt; 0,
    VLOOKUP(D487, 챕터!$D$4:$E$100, 2, FALSE),
    VLOOKUP(D487, 챕터!$B$4:$C$100, 2, FALSE)
  )
))</f>
        <v>5</v>
      </c>
      <c r="K487" s="57"/>
      <c r="L487"/>
      <c r="M487"/>
      <c r="N487" s="19"/>
      <c r="O487" s="1"/>
    </row>
    <row r="488" spans="2:15">
      <c r="B488" s="55">
        <v>484</v>
      </c>
      <c r="C488" t="s">
        <v>544</v>
      </c>
      <c r="D488" s="85" t="s">
        <v>26</v>
      </c>
      <c r="E488" s="59" t="s">
        <v>1</v>
      </c>
      <c r="F488" s="32">
        <v>4500</v>
      </c>
      <c r="G488" s="56">
        <v>1</v>
      </c>
      <c r="H488" s="32">
        <v>4500</v>
      </c>
      <c r="I488" s="58" t="str">
        <f t="shared" ca="1" si="7"/>
        <v>MV1_EV_27MY_KO</v>
      </c>
      <c r="J488" s="65" cm="1">
        <f t="array" ref="J488">IF(D488="","",IF(
  COUNTIF($D$5:$D$571, "Infotainment system") &gt; 0,
  VLOOKUP(D488, 챕터!$F$4:$G$100, 2, FALSE),
  IF(
    SUM(COUNTIF($D$5:$D$571, {"Hybrid system overview","Electric vehicle guide","Infotainment system"})) &gt; 0,
    VLOOKUP(D488, 챕터!$D$4:$E$100, 2, FALSE),
    VLOOKUP(D488, 챕터!$B$4:$C$100, 2, FALSE)
  )
))</f>
        <v>5</v>
      </c>
      <c r="K488" s="57"/>
      <c r="L488"/>
      <c r="M488"/>
      <c r="N488" s="19"/>
      <c r="O488" s="1"/>
    </row>
    <row r="489" spans="2:15">
      <c r="B489" s="55">
        <v>485</v>
      </c>
      <c r="C489" t="s">
        <v>545</v>
      </c>
      <c r="D489" s="85" t="s">
        <v>26</v>
      </c>
      <c r="E489" s="59" t="s">
        <v>1</v>
      </c>
      <c r="F489" s="32">
        <v>4500</v>
      </c>
      <c r="G489" s="56">
        <v>1</v>
      </c>
      <c r="H489" s="32">
        <v>4500</v>
      </c>
      <c r="I489" s="58" t="str">
        <f t="shared" ca="1" si="7"/>
        <v>MV1_EV_27MY_KO</v>
      </c>
      <c r="J489" s="65" cm="1">
        <f t="array" ref="J489">IF(D489="","",IF(
  COUNTIF($D$5:$D$571, "Infotainment system") &gt; 0,
  VLOOKUP(D489, 챕터!$F$4:$G$100, 2, FALSE),
  IF(
    SUM(COUNTIF($D$5:$D$571, {"Hybrid system overview","Electric vehicle guide","Infotainment system"})) &gt; 0,
    VLOOKUP(D489, 챕터!$D$4:$E$100, 2, FALSE),
    VLOOKUP(D489, 챕터!$B$4:$C$100, 2, FALSE)
  )
))</f>
        <v>5</v>
      </c>
      <c r="K489" s="57"/>
      <c r="L489"/>
      <c r="M489"/>
      <c r="N489" s="19"/>
      <c r="O489" s="1"/>
    </row>
    <row r="490" spans="2:15">
      <c r="B490" s="55">
        <v>486</v>
      </c>
      <c r="C490" t="s">
        <v>546</v>
      </c>
      <c r="D490" s="85" t="s">
        <v>26</v>
      </c>
      <c r="E490" s="59" t="s">
        <v>1</v>
      </c>
      <c r="F490" s="32">
        <v>4500</v>
      </c>
      <c r="G490" s="56">
        <v>1</v>
      </c>
      <c r="H490" s="32">
        <v>4500</v>
      </c>
      <c r="I490" s="58" t="str">
        <f t="shared" ca="1" si="7"/>
        <v>MV1_EV_27MY_KO</v>
      </c>
      <c r="J490" s="65" cm="1">
        <f t="array" ref="J490">IF(D490="","",IF(
  COUNTIF($D$5:$D$571, "Infotainment system") &gt; 0,
  VLOOKUP(D490, 챕터!$F$4:$G$100, 2, FALSE),
  IF(
    SUM(COUNTIF($D$5:$D$571, {"Hybrid system overview","Electric vehicle guide","Infotainment system"})) &gt; 0,
    VLOOKUP(D490, 챕터!$D$4:$E$100, 2, FALSE),
    VLOOKUP(D490, 챕터!$B$4:$C$100, 2, FALSE)
  )
))</f>
        <v>5</v>
      </c>
      <c r="K490" s="57"/>
      <c r="L490"/>
      <c r="M490"/>
      <c r="N490" s="19"/>
      <c r="O490" s="1"/>
    </row>
    <row r="491" spans="2:15">
      <c r="B491" s="55">
        <v>487</v>
      </c>
      <c r="C491" t="s">
        <v>547</v>
      </c>
      <c r="D491" s="85" t="s">
        <v>26</v>
      </c>
      <c r="E491" s="59" t="s">
        <v>1</v>
      </c>
      <c r="F491" s="32">
        <v>4500</v>
      </c>
      <c r="G491" s="56">
        <v>1</v>
      </c>
      <c r="H491" s="32">
        <v>4500</v>
      </c>
      <c r="I491" s="58" t="str">
        <f t="shared" ca="1" si="7"/>
        <v>MV1_EV_27MY_KO</v>
      </c>
      <c r="J491" s="65" cm="1">
        <f t="array" ref="J491">IF(D491="","",IF(
  COUNTIF($D$5:$D$571, "Infotainment system") &gt; 0,
  VLOOKUP(D491, 챕터!$F$4:$G$100, 2, FALSE),
  IF(
    SUM(COUNTIF($D$5:$D$571, {"Hybrid system overview","Electric vehicle guide","Infotainment system"})) &gt; 0,
    VLOOKUP(D491, 챕터!$D$4:$E$100, 2, FALSE),
    VLOOKUP(D491, 챕터!$B$4:$C$100, 2, FALSE)
  )
))</f>
        <v>5</v>
      </c>
      <c r="K491" s="57"/>
      <c r="L491"/>
      <c r="M491"/>
      <c r="N491" s="19"/>
      <c r="O491" s="1"/>
    </row>
    <row r="492" spans="2:15">
      <c r="B492" s="55">
        <v>488</v>
      </c>
      <c r="C492" t="s">
        <v>548</v>
      </c>
      <c r="D492" s="85" t="s">
        <v>26</v>
      </c>
      <c r="E492" s="59" t="s">
        <v>1</v>
      </c>
      <c r="F492" s="32">
        <v>4500</v>
      </c>
      <c r="G492" s="56">
        <v>1</v>
      </c>
      <c r="H492" s="32">
        <v>4500</v>
      </c>
      <c r="I492" s="58" t="str">
        <f t="shared" ca="1" si="7"/>
        <v>MV1_EV_27MY_KO</v>
      </c>
      <c r="J492" s="65" cm="1">
        <f t="array" ref="J492">IF(D492="","",IF(
  COUNTIF($D$5:$D$571, "Infotainment system") &gt; 0,
  VLOOKUP(D492, 챕터!$F$4:$G$100, 2, FALSE),
  IF(
    SUM(COUNTIF($D$5:$D$571, {"Hybrid system overview","Electric vehicle guide","Infotainment system"})) &gt; 0,
    VLOOKUP(D492, 챕터!$D$4:$E$100, 2, FALSE),
    VLOOKUP(D492, 챕터!$B$4:$C$100, 2, FALSE)
  )
))</f>
        <v>5</v>
      </c>
      <c r="K492" s="57"/>
      <c r="L492"/>
      <c r="M492"/>
      <c r="N492" s="19"/>
      <c r="O492" s="1"/>
    </row>
    <row r="493" spans="2:15">
      <c r="B493" s="55">
        <v>489</v>
      </c>
      <c r="C493" t="s">
        <v>549</v>
      </c>
      <c r="D493" s="85" t="s">
        <v>26</v>
      </c>
      <c r="E493" s="59" t="s">
        <v>1</v>
      </c>
      <c r="F493" s="32">
        <v>4500</v>
      </c>
      <c r="G493" s="56">
        <v>1</v>
      </c>
      <c r="H493" s="32">
        <v>4500</v>
      </c>
      <c r="I493" s="58" t="str">
        <f t="shared" ca="1" si="7"/>
        <v>MV1_EV_27MY_KO</v>
      </c>
      <c r="J493" s="65" cm="1">
        <f t="array" ref="J493">IF(D493="","",IF(
  COUNTIF($D$5:$D$571, "Infotainment system") &gt; 0,
  VLOOKUP(D493, 챕터!$F$4:$G$100, 2, FALSE),
  IF(
    SUM(COUNTIF($D$5:$D$571, {"Hybrid system overview","Electric vehicle guide","Infotainment system"})) &gt; 0,
    VLOOKUP(D493, 챕터!$D$4:$E$100, 2, FALSE),
    VLOOKUP(D493, 챕터!$B$4:$C$100, 2, FALSE)
  )
))</f>
        <v>5</v>
      </c>
      <c r="K493" s="57"/>
      <c r="L493"/>
      <c r="M493"/>
      <c r="N493" s="19"/>
      <c r="O493" s="1"/>
    </row>
    <row r="494" spans="2:15">
      <c r="B494" s="55">
        <v>490</v>
      </c>
      <c r="C494" t="s">
        <v>550</v>
      </c>
      <c r="D494" s="85" t="s">
        <v>26</v>
      </c>
      <c r="E494" s="59" t="s">
        <v>1</v>
      </c>
      <c r="F494" s="32">
        <v>4500</v>
      </c>
      <c r="G494" s="56">
        <v>1</v>
      </c>
      <c r="H494" s="32">
        <v>4500</v>
      </c>
      <c r="I494" s="58" t="str">
        <f t="shared" ca="1" si="7"/>
        <v>MV1_EV_27MY_KO</v>
      </c>
      <c r="J494" s="65" cm="1">
        <f t="array" ref="J494">IF(D494="","",IF(
  COUNTIF($D$5:$D$571, "Infotainment system") &gt; 0,
  VLOOKUP(D494, 챕터!$F$4:$G$100, 2, FALSE),
  IF(
    SUM(COUNTIF($D$5:$D$571, {"Hybrid system overview","Electric vehicle guide","Infotainment system"})) &gt; 0,
    VLOOKUP(D494, 챕터!$D$4:$E$100, 2, FALSE),
    VLOOKUP(D494, 챕터!$B$4:$C$100, 2, FALSE)
  )
))</f>
        <v>5</v>
      </c>
      <c r="K494" s="57"/>
      <c r="L494"/>
      <c r="M494"/>
      <c r="N494" s="19"/>
      <c r="O494" s="1"/>
    </row>
    <row r="495" spans="2:15">
      <c r="B495" s="55">
        <v>491</v>
      </c>
      <c r="C495" t="s">
        <v>551</v>
      </c>
      <c r="D495" s="85" t="s">
        <v>26</v>
      </c>
      <c r="E495" s="59" t="s">
        <v>1</v>
      </c>
      <c r="F495" s="32">
        <v>4500</v>
      </c>
      <c r="G495" s="56">
        <v>1</v>
      </c>
      <c r="H495" s="32">
        <v>4500</v>
      </c>
      <c r="I495" s="58" t="str">
        <f t="shared" ca="1" si="7"/>
        <v>MV1_EV_27MY_KO</v>
      </c>
      <c r="J495" s="65" cm="1">
        <f t="array" ref="J495">IF(D495="","",IF(
  COUNTIF($D$5:$D$571, "Infotainment system") &gt; 0,
  VLOOKUP(D495, 챕터!$F$4:$G$100, 2, FALSE),
  IF(
    SUM(COUNTIF($D$5:$D$571, {"Hybrid system overview","Electric vehicle guide","Infotainment system"})) &gt; 0,
    VLOOKUP(D495, 챕터!$D$4:$E$100, 2, FALSE),
    VLOOKUP(D495, 챕터!$B$4:$C$100, 2, FALSE)
  )
))</f>
        <v>5</v>
      </c>
      <c r="K495" s="57"/>
      <c r="L495"/>
      <c r="M495"/>
      <c r="N495" s="19"/>
      <c r="O495" s="1"/>
    </row>
    <row r="496" spans="2:15">
      <c r="B496" s="55">
        <v>492</v>
      </c>
      <c r="C496" t="s">
        <v>552</v>
      </c>
      <c r="D496" s="85" t="s">
        <v>26</v>
      </c>
      <c r="E496" s="59" t="s">
        <v>1</v>
      </c>
      <c r="F496" s="32">
        <v>4500</v>
      </c>
      <c r="G496" s="56">
        <v>1</v>
      </c>
      <c r="H496" s="32">
        <v>4500</v>
      </c>
      <c r="I496" s="58" t="str">
        <f t="shared" ca="1" si="7"/>
        <v>MV1_EV_27MY_KO</v>
      </c>
      <c r="J496" s="65" cm="1">
        <f t="array" ref="J496">IF(D496="","",IF(
  COUNTIF($D$5:$D$571, "Infotainment system") &gt; 0,
  VLOOKUP(D496, 챕터!$F$4:$G$100, 2, FALSE),
  IF(
    SUM(COUNTIF($D$5:$D$571, {"Hybrid system overview","Electric vehicle guide","Infotainment system"})) &gt; 0,
    VLOOKUP(D496, 챕터!$D$4:$E$100, 2, FALSE),
    VLOOKUP(D496, 챕터!$B$4:$C$100, 2, FALSE)
  )
))</f>
        <v>5</v>
      </c>
      <c r="K496" s="57"/>
      <c r="L496"/>
      <c r="M496"/>
      <c r="N496" s="19"/>
      <c r="O496" s="1"/>
    </row>
    <row r="497" spans="2:15">
      <c r="B497" s="55">
        <v>493</v>
      </c>
      <c r="C497" t="s">
        <v>553</v>
      </c>
      <c r="D497" s="85" t="s">
        <v>26</v>
      </c>
      <c r="E497" s="59" t="s">
        <v>1</v>
      </c>
      <c r="F497" s="32">
        <v>4500</v>
      </c>
      <c r="G497" s="56">
        <v>1</v>
      </c>
      <c r="H497" s="32">
        <v>4500</v>
      </c>
      <c r="I497" s="58" t="str">
        <f t="shared" ca="1" si="7"/>
        <v>MV1_EV_27MY_KO</v>
      </c>
      <c r="J497" s="65" cm="1">
        <f t="array" ref="J497">IF(D497="","",IF(
  COUNTIF($D$5:$D$571, "Infotainment system") &gt; 0,
  VLOOKUP(D497, 챕터!$F$4:$G$100, 2, FALSE),
  IF(
    SUM(COUNTIF($D$5:$D$571, {"Hybrid system overview","Electric vehicle guide","Infotainment system"})) &gt; 0,
    VLOOKUP(D497, 챕터!$D$4:$E$100, 2, FALSE),
    VLOOKUP(D497, 챕터!$B$4:$C$100, 2, FALSE)
  )
))</f>
        <v>5</v>
      </c>
      <c r="K497" s="57"/>
      <c r="L497"/>
      <c r="M497"/>
      <c r="N497" s="19"/>
      <c r="O497" s="1"/>
    </row>
    <row r="498" spans="2:15">
      <c r="B498" s="55">
        <v>494</v>
      </c>
      <c r="C498" t="s">
        <v>554</v>
      </c>
      <c r="D498" s="85" t="s">
        <v>26</v>
      </c>
      <c r="E498" s="59" t="s">
        <v>1</v>
      </c>
      <c r="F498" s="32">
        <v>4500</v>
      </c>
      <c r="G498" s="56">
        <v>1</v>
      </c>
      <c r="H498" s="32">
        <v>4500</v>
      </c>
      <c r="I498" s="58" t="str">
        <f t="shared" ca="1" si="7"/>
        <v>MV1_EV_27MY_KO</v>
      </c>
      <c r="J498" s="65" cm="1">
        <f t="array" ref="J498">IF(D498="","",IF(
  COUNTIF($D$5:$D$571, "Infotainment system") &gt; 0,
  VLOOKUP(D498, 챕터!$F$4:$G$100, 2, FALSE),
  IF(
    SUM(COUNTIF($D$5:$D$571, {"Hybrid system overview","Electric vehicle guide","Infotainment system"})) &gt; 0,
    VLOOKUP(D498, 챕터!$D$4:$E$100, 2, FALSE),
    VLOOKUP(D498, 챕터!$B$4:$C$100, 2, FALSE)
  )
))</f>
        <v>5</v>
      </c>
      <c r="K498" s="57"/>
      <c r="L498"/>
      <c r="M498"/>
      <c r="N498" s="19"/>
      <c r="O498" s="1"/>
    </row>
    <row r="499" spans="2:15">
      <c r="B499" s="55">
        <v>495</v>
      </c>
      <c r="C499" t="s">
        <v>555</v>
      </c>
      <c r="D499" s="85" t="s">
        <v>26</v>
      </c>
      <c r="E499" s="59" t="s">
        <v>1</v>
      </c>
      <c r="F499" s="32">
        <v>4500</v>
      </c>
      <c r="G499" s="56">
        <v>1</v>
      </c>
      <c r="H499" s="32">
        <v>4500</v>
      </c>
      <c r="I499" s="58" t="str">
        <f t="shared" ca="1" si="7"/>
        <v>MV1_EV_27MY_KO</v>
      </c>
      <c r="J499" s="65" cm="1">
        <f t="array" ref="J499">IF(D499="","",IF(
  COUNTIF($D$5:$D$571, "Infotainment system") &gt; 0,
  VLOOKUP(D499, 챕터!$F$4:$G$100, 2, FALSE),
  IF(
    SUM(COUNTIF($D$5:$D$571, {"Hybrid system overview","Electric vehicle guide","Infotainment system"})) &gt; 0,
    VLOOKUP(D499, 챕터!$D$4:$E$100, 2, FALSE),
    VLOOKUP(D499, 챕터!$B$4:$C$100, 2, FALSE)
  )
))</f>
        <v>5</v>
      </c>
      <c r="K499" s="57"/>
      <c r="L499"/>
      <c r="M499"/>
      <c r="N499" s="19"/>
      <c r="O499" s="1"/>
    </row>
    <row r="500" spans="2:15">
      <c r="B500" s="55">
        <v>496</v>
      </c>
      <c r="C500" t="s">
        <v>556</v>
      </c>
      <c r="D500" s="85" t="s">
        <v>26</v>
      </c>
      <c r="E500" s="59" t="s">
        <v>1</v>
      </c>
      <c r="F500" s="32">
        <v>4500</v>
      </c>
      <c r="G500" s="56">
        <v>1</v>
      </c>
      <c r="H500" s="32">
        <v>4500</v>
      </c>
      <c r="I500" s="58" t="str">
        <f t="shared" ca="1" si="7"/>
        <v>MV1_EV_27MY_KO</v>
      </c>
      <c r="J500" s="65" cm="1">
        <f t="array" ref="J500">IF(D500="","",IF(
  COUNTIF($D$5:$D$571, "Infotainment system") &gt; 0,
  VLOOKUP(D500, 챕터!$F$4:$G$100, 2, FALSE),
  IF(
    SUM(COUNTIF($D$5:$D$571, {"Hybrid system overview","Electric vehicle guide","Infotainment system"})) &gt; 0,
    VLOOKUP(D500, 챕터!$D$4:$E$100, 2, FALSE),
    VLOOKUP(D500, 챕터!$B$4:$C$100, 2, FALSE)
  )
))</f>
        <v>5</v>
      </c>
      <c r="K500" s="57"/>
      <c r="L500"/>
      <c r="M500"/>
      <c r="N500" s="19"/>
      <c r="O500" s="1"/>
    </row>
    <row r="501" spans="2:15">
      <c r="B501" s="55">
        <v>497</v>
      </c>
      <c r="C501" t="s">
        <v>557</v>
      </c>
      <c r="D501" s="85" t="s">
        <v>26</v>
      </c>
      <c r="E501" s="59" t="s">
        <v>1</v>
      </c>
      <c r="F501" s="32">
        <v>4500</v>
      </c>
      <c r="G501" s="56">
        <v>1</v>
      </c>
      <c r="H501" s="32">
        <v>4500</v>
      </c>
      <c r="I501" s="58" t="str">
        <f t="shared" ca="1" si="7"/>
        <v>MV1_EV_27MY_KO</v>
      </c>
      <c r="J501" s="65" cm="1">
        <f t="array" ref="J501">IF(D501="","",IF(
  COUNTIF($D$5:$D$571, "Infotainment system") &gt; 0,
  VLOOKUP(D501, 챕터!$F$4:$G$100, 2, FALSE),
  IF(
    SUM(COUNTIF($D$5:$D$571, {"Hybrid system overview","Electric vehicle guide","Infotainment system"})) &gt; 0,
    VLOOKUP(D501, 챕터!$D$4:$E$100, 2, FALSE),
    VLOOKUP(D501, 챕터!$B$4:$C$100, 2, FALSE)
  )
))</f>
        <v>5</v>
      </c>
      <c r="K501" s="57"/>
      <c r="L501"/>
      <c r="M501"/>
      <c r="N501" s="19"/>
      <c r="O501" s="1"/>
    </row>
    <row r="502" spans="2:15">
      <c r="B502" s="55">
        <v>498</v>
      </c>
      <c r="C502" t="s">
        <v>558</v>
      </c>
      <c r="D502" s="85" t="s">
        <v>26</v>
      </c>
      <c r="E502" s="59" t="s">
        <v>1</v>
      </c>
      <c r="F502" s="32">
        <v>4500</v>
      </c>
      <c r="G502" s="56">
        <v>1</v>
      </c>
      <c r="H502" s="32">
        <v>4500</v>
      </c>
      <c r="I502" s="58" t="str">
        <f t="shared" ca="1" si="7"/>
        <v>MV1_EV_27MY_KO</v>
      </c>
      <c r="J502" s="65" cm="1">
        <f t="array" ref="J502">IF(D502="","",IF(
  COUNTIF($D$5:$D$571, "Infotainment system") &gt; 0,
  VLOOKUP(D502, 챕터!$F$4:$G$100, 2, FALSE),
  IF(
    SUM(COUNTIF($D$5:$D$571, {"Hybrid system overview","Electric vehicle guide","Infotainment system"})) &gt; 0,
    VLOOKUP(D502, 챕터!$D$4:$E$100, 2, FALSE),
    VLOOKUP(D502, 챕터!$B$4:$C$100, 2, FALSE)
  )
))</f>
        <v>5</v>
      </c>
      <c r="K502" s="57"/>
      <c r="L502"/>
      <c r="M502"/>
      <c r="N502" s="19"/>
      <c r="O502" s="1"/>
    </row>
    <row r="503" spans="2:15">
      <c r="B503" s="55">
        <v>499</v>
      </c>
      <c r="C503" t="s">
        <v>559</v>
      </c>
      <c r="D503" s="85" t="s">
        <v>26</v>
      </c>
      <c r="E503" s="59" t="s">
        <v>1</v>
      </c>
      <c r="F503" s="32">
        <v>4500</v>
      </c>
      <c r="G503" s="56">
        <v>1</v>
      </c>
      <c r="H503" s="32">
        <v>4500</v>
      </c>
      <c r="I503" s="58" t="str">
        <f t="shared" ca="1" si="7"/>
        <v>MV1_EV_27MY_KO</v>
      </c>
      <c r="J503" s="65" cm="1">
        <f t="array" ref="J503">IF(D503="","",IF(
  COUNTIF($D$5:$D$571, "Infotainment system") &gt; 0,
  VLOOKUP(D503, 챕터!$F$4:$G$100, 2, FALSE),
  IF(
    SUM(COUNTIF($D$5:$D$571, {"Hybrid system overview","Electric vehicle guide","Infotainment system"})) &gt; 0,
    VLOOKUP(D503, 챕터!$D$4:$E$100, 2, FALSE),
    VLOOKUP(D503, 챕터!$B$4:$C$100, 2, FALSE)
  )
))</f>
        <v>5</v>
      </c>
      <c r="K503" s="57"/>
      <c r="L503"/>
      <c r="M503"/>
      <c r="N503" s="19"/>
      <c r="O503" s="1"/>
    </row>
    <row r="504" spans="2:15">
      <c r="B504" s="55">
        <v>500</v>
      </c>
      <c r="C504" t="s">
        <v>560</v>
      </c>
      <c r="D504" s="85" t="s">
        <v>26</v>
      </c>
      <c r="E504" s="59" t="s">
        <v>1</v>
      </c>
      <c r="F504" s="32">
        <v>4500</v>
      </c>
      <c r="G504" s="56">
        <v>1</v>
      </c>
      <c r="H504" s="32">
        <v>4500</v>
      </c>
      <c r="I504" s="58" t="str">
        <f t="shared" ca="1" si="7"/>
        <v>MV1_EV_27MY_KO</v>
      </c>
      <c r="J504" s="65" cm="1">
        <f t="array" ref="J504">IF(D504="","",IF(
  COUNTIF($D$5:$D$571, "Infotainment system") &gt; 0,
  VLOOKUP(D504, 챕터!$F$4:$G$100, 2, FALSE),
  IF(
    SUM(COUNTIF($D$5:$D$571, {"Hybrid system overview","Electric vehicle guide","Infotainment system"})) &gt; 0,
    VLOOKUP(D504, 챕터!$D$4:$E$100, 2, FALSE),
    VLOOKUP(D504, 챕터!$B$4:$C$100, 2, FALSE)
  )
))</f>
        <v>5</v>
      </c>
      <c r="K504" s="57"/>
      <c r="L504"/>
      <c r="M504"/>
      <c r="N504" s="19"/>
      <c r="O504" s="1"/>
    </row>
    <row r="505" spans="2:15">
      <c r="B505" s="55">
        <v>501</v>
      </c>
      <c r="C505" t="s">
        <v>561</v>
      </c>
      <c r="D505" s="85" t="s">
        <v>26</v>
      </c>
      <c r="E505" s="59" t="s">
        <v>1</v>
      </c>
      <c r="F505" s="32">
        <v>4500</v>
      </c>
      <c r="G505" s="56">
        <v>1</v>
      </c>
      <c r="H505" s="32">
        <v>4500</v>
      </c>
      <c r="I505" s="58" t="str">
        <f t="shared" ca="1" si="7"/>
        <v>MV1_EV_27MY_KO</v>
      </c>
      <c r="J505" s="65" cm="1">
        <f t="array" ref="J505">IF(D505="","",IF(
  COUNTIF($D$5:$D$571, "Infotainment system") &gt; 0,
  VLOOKUP(D505, 챕터!$F$4:$G$100, 2, FALSE),
  IF(
    SUM(COUNTIF($D$5:$D$571, {"Hybrid system overview","Electric vehicle guide","Infotainment system"})) &gt; 0,
    VLOOKUP(D505, 챕터!$D$4:$E$100, 2, FALSE),
    VLOOKUP(D505, 챕터!$B$4:$C$100, 2, FALSE)
  )
))</f>
        <v>5</v>
      </c>
      <c r="K505" s="57"/>
      <c r="L505"/>
      <c r="M505"/>
      <c r="N505" s="19"/>
      <c r="O505" s="1"/>
    </row>
    <row r="506" spans="2:15">
      <c r="B506" s="55">
        <v>502</v>
      </c>
      <c r="C506" t="s">
        <v>562</v>
      </c>
      <c r="D506" s="85" t="s">
        <v>26</v>
      </c>
      <c r="E506" s="59" t="s">
        <v>1</v>
      </c>
      <c r="F506" s="32">
        <v>4500</v>
      </c>
      <c r="G506" s="56">
        <v>1</v>
      </c>
      <c r="H506" s="32">
        <v>4500</v>
      </c>
      <c r="I506" s="58" t="str">
        <f t="shared" ca="1" si="7"/>
        <v>MV1_EV_27MY_KO</v>
      </c>
      <c r="J506" s="65" cm="1">
        <f t="array" ref="J506">IF(D506="","",IF(
  COUNTIF($D$5:$D$571, "Infotainment system") &gt; 0,
  VLOOKUP(D506, 챕터!$F$4:$G$100, 2, FALSE),
  IF(
    SUM(COUNTIF($D$5:$D$571, {"Hybrid system overview","Electric vehicle guide","Infotainment system"})) &gt; 0,
    VLOOKUP(D506, 챕터!$D$4:$E$100, 2, FALSE),
    VLOOKUP(D506, 챕터!$B$4:$C$100, 2, FALSE)
  )
))</f>
        <v>5</v>
      </c>
      <c r="K506" s="57"/>
      <c r="L506"/>
      <c r="M506"/>
      <c r="N506" s="19"/>
      <c r="O506" s="1"/>
    </row>
    <row r="507" spans="2:15">
      <c r="B507" s="55">
        <v>503</v>
      </c>
      <c r="C507" t="s">
        <v>563</v>
      </c>
      <c r="D507" s="85" t="s">
        <v>26</v>
      </c>
      <c r="E507" s="59" t="s">
        <v>1</v>
      </c>
      <c r="F507" s="32">
        <v>4500</v>
      </c>
      <c r="G507" s="56">
        <v>1</v>
      </c>
      <c r="H507" s="32">
        <v>4500</v>
      </c>
      <c r="I507" s="58" t="str">
        <f t="shared" ca="1" si="7"/>
        <v>MV1_EV_27MY_KO</v>
      </c>
      <c r="J507" s="65" cm="1">
        <f t="array" ref="J507">IF(D507="","",IF(
  COUNTIF($D$5:$D$571, "Infotainment system") &gt; 0,
  VLOOKUP(D507, 챕터!$F$4:$G$100, 2, FALSE),
  IF(
    SUM(COUNTIF($D$5:$D$571, {"Hybrid system overview","Electric vehicle guide","Infotainment system"})) &gt; 0,
    VLOOKUP(D507, 챕터!$D$4:$E$100, 2, FALSE),
    VLOOKUP(D507, 챕터!$B$4:$C$100, 2, FALSE)
  )
))</f>
        <v>5</v>
      </c>
      <c r="K507" s="57"/>
      <c r="L507"/>
      <c r="M507"/>
      <c r="N507" s="19"/>
      <c r="O507" s="1"/>
    </row>
    <row r="508" spans="2:15">
      <c r="B508" s="55">
        <v>504</v>
      </c>
      <c r="C508" t="s">
        <v>564</v>
      </c>
      <c r="D508" s="85" t="s">
        <v>26</v>
      </c>
      <c r="E508" s="59" t="s">
        <v>1</v>
      </c>
      <c r="F508" s="32">
        <v>4500</v>
      </c>
      <c r="G508" s="56">
        <v>1</v>
      </c>
      <c r="H508" s="32">
        <v>4500</v>
      </c>
      <c r="I508" s="58" t="str">
        <f t="shared" ca="1" si="7"/>
        <v>MV1_EV_27MY_KO</v>
      </c>
      <c r="J508" s="65" cm="1">
        <f t="array" ref="J508">IF(D508="","",IF(
  COUNTIF($D$5:$D$571, "Infotainment system") &gt; 0,
  VLOOKUP(D508, 챕터!$F$4:$G$100, 2, FALSE),
  IF(
    SUM(COUNTIF($D$5:$D$571, {"Hybrid system overview","Electric vehicle guide","Infotainment system"})) &gt; 0,
    VLOOKUP(D508, 챕터!$D$4:$E$100, 2, FALSE),
    VLOOKUP(D508, 챕터!$B$4:$C$100, 2, FALSE)
  )
))</f>
        <v>5</v>
      </c>
      <c r="K508" s="57"/>
      <c r="L508"/>
      <c r="M508"/>
      <c r="N508" s="19"/>
      <c r="O508" s="1"/>
    </row>
    <row r="509" spans="2:15">
      <c r="B509" s="55">
        <v>505</v>
      </c>
      <c r="C509" t="s">
        <v>565</v>
      </c>
      <c r="D509" s="85" t="s">
        <v>26</v>
      </c>
      <c r="E509" s="59" t="s">
        <v>1</v>
      </c>
      <c r="F509" s="32">
        <v>4500</v>
      </c>
      <c r="G509" s="56">
        <v>1</v>
      </c>
      <c r="H509" s="32">
        <v>4500</v>
      </c>
      <c r="I509" s="58" t="str">
        <f t="shared" ca="1" si="7"/>
        <v>MV1_EV_27MY_KO</v>
      </c>
      <c r="J509" s="65" cm="1">
        <f t="array" ref="J509">IF(D509="","",IF(
  COUNTIF($D$5:$D$571, "Infotainment system") &gt; 0,
  VLOOKUP(D509, 챕터!$F$4:$G$100, 2, FALSE),
  IF(
    SUM(COUNTIF($D$5:$D$571, {"Hybrid system overview","Electric vehicle guide","Infotainment system"})) &gt; 0,
    VLOOKUP(D509, 챕터!$D$4:$E$100, 2, FALSE),
    VLOOKUP(D509, 챕터!$B$4:$C$100, 2, FALSE)
  )
))</f>
        <v>5</v>
      </c>
      <c r="K509" s="57"/>
      <c r="L509"/>
      <c r="M509"/>
      <c r="N509" s="19"/>
      <c r="O509" s="1"/>
    </row>
    <row r="510" spans="2:15">
      <c r="B510" s="55">
        <v>506</v>
      </c>
      <c r="C510" t="s">
        <v>566</v>
      </c>
      <c r="D510" s="85" t="s">
        <v>26</v>
      </c>
      <c r="E510" s="59" t="s">
        <v>1</v>
      </c>
      <c r="F510" s="32">
        <v>4500</v>
      </c>
      <c r="G510" s="56">
        <v>1</v>
      </c>
      <c r="H510" s="32">
        <v>4500</v>
      </c>
      <c r="I510" s="58" t="str">
        <f t="shared" ca="1" si="7"/>
        <v>MV1_EV_27MY_KO</v>
      </c>
      <c r="J510" s="65" cm="1">
        <f t="array" ref="J510">IF(D510="","",IF(
  COUNTIF($D$5:$D$571, "Infotainment system") &gt; 0,
  VLOOKUP(D510, 챕터!$F$4:$G$100, 2, FALSE),
  IF(
    SUM(COUNTIF($D$5:$D$571, {"Hybrid system overview","Electric vehicle guide","Infotainment system"})) &gt; 0,
    VLOOKUP(D510, 챕터!$D$4:$E$100, 2, FALSE),
    VLOOKUP(D510, 챕터!$B$4:$C$100, 2, FALSE)
  )
))</f>
        <v>5</v>
      </c>
      <c r="K510" s="57"/>
      <c r="L510"/>
      <c r="M510"/>
      <c r="N510" s="19"/>
      <c r="O510" s="1"/>
    </row>
    <row r="511" spans="2:15">
      <c r="B511" s="55">
        <v>507</v>
      </c>
      <c r="C511" t="s">
        <v>567</v>
      </c>
      <c r="D511" s="85" t="s">
        <v>26</v>
      </c>
      <c r="E511" s="59" t="s">
        <v>1</v>
      </c>
      <c r="F511" s="32">
        <v>4500</v>
      </c>
      <c r="G511" s="56">
        <v>1</v>
      </c>
      <c r="H511" s="32">
        <v>4500</v>
      </c>
      <c r="I511" s="58" t="str">
        <f t="shared" ca="1" si="7"/>
        <v>MV1_EV_27MY_KO</v>
      </c>
      <c r="J511" s="65" cm="1">
        <f t="array" ref="J511">IF(D511="","",IF(
  COUNTIF($D$5:$D$571, "Infotainment system") &gt; 0,
  VLOOKUP(D511, 챕터!$F$4:$G$100, 2, FALSE),
  IF(
    SUM(COUNTIF($D$5:$D$571, {"Hybrid system overview","Electric vehicle guide","Infotainment system"})) &gt; 0,
    VLOOKUP(D511, 챕터!$D$4:$E$100, 2, FALSE),
    VLOOKUP(D511, 챕터!$B$4:$C$100, 2, FALSE)
  )
))</f>
        <v>5</v>
      </c>
      <c r="K511" s="57"/>
      <c r="L511"/>
      <c r="M511"/>
      <c r="N511" s="19"/>
      <c r="O511" s="1"/>
    </row>
    <row r="512" spans="2:15">
      <c r="B512" s="55">
        <v>508</v>
      </c>
      <c r="C512" t="s">
        <v>568</v>
      </c>
      <c r="D512" s="85" t="s">
        <v>26</v>
      </c>
      <c r="E512" s="59" t="s">
        <v>1</v>
      </c>
      <c r="F512" s="32">
        <v>4500</v>
      </c>
      <c r="G512" s="56">
        <v>1</v>
      </c>
      <c r="H512" s="32">
        <v>4500</v>
      </c>
      <c r="I512" s="58" t="str">
        <f t="shared" ca="1" si="7"/>
        <v>MV1_EV_27MY_KO</v>
      </c>
      <c r="J512" s="65" cm="1">
        <f t="array" ref="J512">IF(D512="","",IF(
  COUNTIF($D$5:$D$571, "Infotainment system") &gt; 0,
  VLOOKUP(D512, 챕터!$F$4:$G$100, 2, FALSE),
  IF(
    SUM(COUNTIF($D$5:$D$571, {"Hybrid system overview","Electric vehicle guide","Infotainment system"})) &gt; 0,
    VLOOKUP(D512, 챕터!$D$4:$E$100, 2, FALSE),
    VLOOKUP(D512, 챕터!$B$4:$C$100, 2, FALSE)
  )
))</f>
        <v>5</v>
      </c>
      <c r="K512" s="57"/>
      <c r="L512"/>
      <c r="M512"/>
      <c r="N512" s="19"/>
      <c r="O512" s="1"/>
    </row>
    <row r="513" spans="2:15">
      <c r="B513" s="55">
        <v>509</v>
      </c>
      <c r="C513" t="s">
        <v>569</v>
      </c>
      <c r="D513" s="85" t="s">
        <v>26</v>
      </c>
      <c r="E513" s="59" t="s">
        <v>1</v>
      </c>
      <c r="F513" s="32">
        <v>4500</v>
      </c>
      <c r="G513" s="56">
        <v>1</v>
      </c>
      <c r="H513" s="32">
        <v>4500</v>
      </c>
      <c r="I513" s="58" t="str">
        <f t="shared" ca="1" si="7"/>
        <v>MV1_EV_27MY_KO</v>
      </c>
      <c r="J513" s="65" cm="1">
        <f t="array" ref="J513">IF(D513="","",IF(
  COUNTIF($D$5:$D$571, "Infotainment system") &gt; 0,
  VLOOKUP(D513, 챕터!$F$4:$G$100, 2, FALSE),
  IF(
    SUM(COUNTIF($D$5:$D$571, {"Hybrid system overview","Electric vehicle guide","Infotainment system"})) &gt; 0,
    VLOOKUP(D513, 챕터!$D$4:$E$100, 2, FALSE),
    VLOOKUP(D513, 챕터!$B$4:$C$100, 2, FALSE)
  )
))</f>
        <v>5</v>
      </c>
      <c r="K513" s="57"/>
      <c r="L513"/>
      <c r="M513"/>
      <c r="N513" s="19"/>
      <c r="O513" s="1"/>
    </row>
    <row r="514" spans="2:15">
      <c r="B514" s="55">
        <v>510</v>
      </c>
      <c r="C514" t="s">
        <v>570</v>
      </c>
      <c r="D514" s="85" t="s">
        <v>26</v>
      </c>
      <c r="E514" s="59" t="s">
        <v>1</v>
      </c>
      <c r="F514" s="32">
        <v>4500</v>
      </c>
      <c r="G514" s="56">
        <v>1</v>
      </c>
      <c r="H514" s="32">
        <v>4500</v>
      </c>
      <c r="I514" s="58" t="str">
        <f t="shared" ca="1" si="7"/>
        <v>MV1_EV_27MY_KO</v>
      </c>
      <c r="J514" s="65" cm="1">
        <f t="array" ref="J514">IF(D514="","",IF(
  COUNTIF($D$5:$D$571, "Infotainment system") &gt; 0,
  VLOOKUP(D514, 챕터!$F$4:$G$100, 2, FALSE),
  IF(
    SUM(COUNTIF($D$5:$D$571, {"Hybrid system overview","Electric vehicle guide","Infotainment system"})) &gt; 0,
    VLOOKUP(D514, 챕터!$D$4:$E$100, 2, FALSE),
    VLOOKUP(D514, 챕터!$B$4:$C$100, 2, FALSE)
  )
))</f>
        <v>5</v>
      </c>
      <c r="K514" s="57"/>
      <c r="L514"/>
      <c r="M514"/>
      <c r="N514" s="19"/>
      <c r="O514" s="1"/>
    </row>
    <row r="515" spans="2:15">
      <c r="B515" s="55">
        <v>511</v>
      </c>
      <c r="C515" t="s">
        <v>571</v>
      </c>
      <c r="D515" s="85" t="s">
        <v>26</v>
      </c>
      <c r="E515" s="59" t="s">
        <v>1</v>
      </c>
      <c r="F515" s="32">
        <v>4500</v>
      </c>
      <c r="G515" s="56">
        <v>1</v>
      </c>
      <c r="H515" s="32">
        <v>4500</v>
      </c>
      <c r="I515" s="58" t="str">
        <f t="shared" ca="1" si="7"/>
        <v>MV1_EV_27MY_KO</v>
      </c>
      <c r="J515" s="65" cm="1">
        <f t="array" ref="J515">IF(D515="","",IF(
  COUNTIF($D$5:$D$571, "Infotainment system") &gt; 0,
  VLOOKUP(D515, 챕터!$F$4:$G$100, 2, FALSE),
  IF(
    SUM(COUNTIF($D$5:$D$571, {"Hybrid system overview","Electric vehicle guide","Infotainment system"})) &gt; 0,
    VLOOKUP(D515, 챕터!$D$4:$E$100, 2, FALSE),
    VLOOKUP(D515, 챕터!$B$4:$C$100, 2, FALSE)
  )
))</f>
        <v>5</v>
      </c>
      <c r="K515" s="57"/>
      <c r="L515"/>
      <c r="M515"/>
      <c r="N515" s="19"/>
      <c r="O515" s="1"/>
    </row>
    <row r="516" spans="2:15">
      <c r="B516" s="55">
        <v>512</v>
      </c>
      <c r="C516" t="s">
        <v>572</v>
      </c>
      <c r="D516" s="85" t="s">
        <v>26</v>
      </c>
      <c r="E516" s="59" t="s">
        <v>1</v>
      </c>
      <c r="F516" s="32">
        <v>4500</v>
      </c>
      <c r="G516" s="56">
        <v>1</v>
      </c>
      <c r="H516" s="32">
        <v>4500</v>
      </c>
      <c r="I516" s="58" t="str">
        <f t="shared" ca="1" si="7"/>
        <v>MV1_EV_27MY_KO</v>
      </c>
      <c r="J516" s="65" cm="1">
        <f t="array" ref="J516">IF(D516="","",IF(
  COUNTIF($D$5:$D$571, "Infotainment system") &gt; 0,
  VLOOKUP(D516, 챕터!$F$4:$G$100, 2, FALSE),
  IF(
    SUM(COUNTIF($D$5:$D$571, {"Hybrid system overview","Electric vehicle guide","Infotainment system"})) &gt; 0,
    VLOOKUP(D516, 챕터!$D$4:$E$100, 2, FALSE),
    VLOOKUP(D516, 챕터!$B$4:$C$100, 2, FALSE)
  )
))</f>
        <v>5</v>
      </c>
      <c r="K516" s="57"/>
      <c r="L516"/>
      <c r="M516"/>
      <c r="N516" s="19"/>
      <c r="O516" s="1"/>
    </row>
    <row r="517" spans="2:15">
      <c r="B517" s="55">
        <v>513</v>
      </c>
      <c r="C517" t="s">
        <v>573</v>
      </c>
      <c r="D517" s="85" t="s">
        <v>26</v>
      </c>
      <c r="E517" s="59" t="s">
        <v>1</v>
      </c>
      <c r="F517" s="32">
        <v>4500</v>
      </c>
      <c r="G517" s="56">
        <v>1</v>
      </c>
      <c r="H517" s="32">
        <v>4500</v>
      </c>
      <c r="I517" s="58" t="str">
        <f t="shared" ca="1" si="7"/>
        <v>MV1_EV_27MY_KO</v>
      </c>
      <c r="J517" s="65" cm="1">
        <f t="array" ref="J517">IF(D517="","",IF(
  COUNTIF($D$5:$D$571, "Infotainment system") &gt; 0,
  VLOOKUP(D517, 챕터!$F$4:$G$100, 2, FALSE),
  IF(
    SUM(COUNTIF($D$5:$D$571, {"Hybrid system overview","Electric vehicle guide","Infotainment system"})) &gt; 0,
    VLOOKUP(D517, 챕터!$D$4:$E$100, 2, FALSE),
    VLOOKUP(D517, 챕터!$B$4:$C$100, 2, FALSE)
  )
))</f>
        <v>5</v>
      </c>
      <c r="K517" s="57"/>
      <c r="L517"/>
      <c r="M517"/>
      <c r="N517" s="19"/>
      <c r="O517" s="1"/>
    </row>
    <row r="518" spans="2:15">
      <c r="B518" s="55">
        <v>514</v>
      </c>
      <c r="C518" t="s">
        <v>574</v>
      </c>
      <c r="D518" s="85" t="s">
        <v>26</v>
      </c>
      <c r="E518" s="59" t="s">
        <v>1</v>
      </c>
      <c r="F518" s="32">
        <v>4500</v>
      </c>
      <c r="G518" s="56">
        <v>1</v>
      </c>
      <c r="H518" s="32">
        <v>4500</v>
      </c>
      <c r="I518" s="58" t="str">
        <f t="shared" ca="1" si="7"/>
        <v>MV1_EV_27MY_KO</v>
      </c>
      <c r="J518" s="65" cm="1">
        <f t="array" ref="J518">IF(D518="","",IF(
  COUNTIF($D$5:$D$571, "Infotainment system") &gt; 0,
  VLOOKUP(D518, 챕터!$F$4:$G$100, 2, FALSE),
  IF(
    SUM(COUNTIF($D$5:$D$571, {"Hybrid system overview","Electric vehicle guide","Infotainment system"})) &gt; 0,
    VLOOKUP(D518, 챕터!$D$4:$E$100, 2, FALSE),
    VLOOKUP(D518, 챕터!$B$4:$C$100, 2, FALSE)
  )
))</f>
        <v>5</v>
      </c>
      <c r="K518" s="57"/>
      <c r="L518"/>
      <c r="M518"/>
      <c r="N518" s="19"/>
      <c r="O518" s="1"/>
    </row>
    <row r="519" spans="2:15">
      <c r="B519" s="55">
        <v>515</v>
      </c>
      <c r="C519" t="s">
        <v>575</v>
      </c>
      <c r="D519" s="85" t="s">
        <v>26</v>
      </c>
      <c r="E519" s="59" t="s">
        <v>1</v>
      </c>
      <c r="F519" s="32">
        <v>4500</v>
      </c>
      <c r="G519" s="56">
        <v>1</v>
      </c>
      <c r="H519" s="32">
        <v>4500</v>
      </c>
      <c r="I519" s="58" t="str">
        <f t="shared" ref="I519:I571" ca="1" si="8">IF(D519="","",$I$5)</f>
        <v>MV1_EV_27MY_KO</v>
      </c>
      <c r="J519" s="65" cm="1">
        <f t="array" ref="J519">IF(D519="","",IF(
  COUNTIF($D$5:$D$571, "Infotainment system") &gt; 0,
  VLOOKUP(D519, 챕터!$F$4:$G$100, 2, FALSE),
  IF(
    SUM(COUNTIF($D$5:$D$571, {"Hybrid system overview","Electric vehicle guide","Infotainment system"})) &gt; 0,
    VLOOKUP(D519, 챕터!$D$4:$E$100, 2, FALSE),
    VLOOKUP(D519, 챕터!$B$4:$C$100, 2, FALSE)
  )
))</f>
        <v>5</v>
      </c>
      <c r="K519" s="57"/>
      <c r="L519"/>
      <c r="M519"/>
      <c r="N519" s="19"/>
      <c r="O519" s="1"/>
    </row>
    <row r="520" spans="2:15">
      <c r="B520" s="55">
        <v>516</v>
      </c>
      <c r="C520" t="s">
        <v>576</v>
      </c>
      <c r="D520" s="85" t="s">
        <v>26</v>
      </c>
      <c r="E520" s="59" t="s">
        <v>1</v>
      </c>
      <c r="F520" s="32">
        <v>4500</v>
      </c>
      <c r="G520" s="56">
        <v>1</v>
      </c>
      <c r="H520" s="32">
        <v>4500</v>
      </c>
      <c r="I520" s="58" t="str">
        <f t="shared" ca="1" si="8"/>
        <v>MV1_EV_27MY_KO</v>
      </c>
      <c r="J520" s="65" cm="1">
        <f t="array" ref="J520">IF(D520="","",IF(
  COUNTIF($D$5:$D$571, "Infotainment system") &gt; 0,
  VLOOKUP(D520, 챕터!$F$4:$G$100, 2, FALSE),
  IF(
    SUM(COUNTIF($D$5:$D$571, {"Hybrid system overview","Electric vehicle guide","Infotainment system"})) &gt; 0,
    VLOOKUP(D520, 챕터!$D$4:$E$100, 2, FALSE),
    VLOOKUP(D520, 챕터!$B$4:$C$100, 2, FALSE)
  )
))</f>
        <v>5</v>
      </c>
      <c r="K520" s="57"/>
      <c r="L520"/>
      <c r="M520"/>
      <c r="N520" s="19"/>
      <c r="O520" s="1"/>
    </row>
    <row r="521" spans="2:15">
      <c r="B521" s="55">
        <v>517</v>
      </c>
      <c r="C521" t="s">
        <v>577</v>
      </c>
      <c r="D521" s="85" t="s">
        <v>26</v>
      </c>
      <c r="E521" s="59" t="s">
        <v>1</v>
      </c>
      <c r="F521" s="32">
        <v>4500</v>
      </c>
      <c r="G521" s="56">
        <v>1</v>
      </c>
      <c r="H521" s="32">
        <v>4500</v>
      </c>
      <c r="I521" s="58" t="str">
        <f t="shared" ca="1" si="8"/>
        <v>MV1_EV_27MY_KO</v>
      </c>
      <c r="J521" s="65" cm="1">
        <f t="array" ref="J521">IF(D521="","",IF(
  COUNTIF($D$5:$D$571, "Infotainment system") &gt; 0,
  VLOOKUP(D521, 챕터!$F$4:$G$100, 2, FALSE),
  IF(
    SUM(COUNTIF($D$5:$D$571, {"Hybrid system overview","Electric vehicle guide","Infotainment system"})) &gt; 0,
    VLOOKUP(D521, 챕터!$D$4:$E$100, 2, FALSE),
    VLOOKUP(D521, 챕터!$B$4:$C$100, 2, FALSE)
  )
))</f>
        <v>5</v>
      </c>
      <c r="K521" s="57"/>
      <c r="L521"/>
      <c r="M521"/>
      <c r="N521" s="19"/>
      <c r="O521" s="1"/>
    </row>
    <row r="522" spans="2:15">
      <c r="B522" s="55">
        <v>518</v>
      </c>
      <c r="C522" t="s">
        <v>578</v>
      </c>
      <c r="D522" s="85" t="s">
        <v>26</v>
      </c>
      <c r="E522" s="59" t="s">
        <v>1</v>
      </c>
      <c r="F522" s="32">
        <v>4500</v>
      </c>
      <c r="G522" s="56">
        <v>1</v>
      </c>
      <c r="H522" s="32">
        <v>4500</v>
      </c>
      <c r="I522" s="58" t="str">
        <f t="shared" ca="1" si="8"/>
        <v>MV1_EV_27MY_KO</v>
      </c>
      <c r="J522" s="65" cm="1">
        <f t="array" ref="J522">IF(D522="","",IF(
  COUNTIF($D$5:$D$571, "Infotainment system") &gt; 0,
  VLOOKUP(D522, 챕터!$F$4:$G$100, 2, FALSE),
  IF(
    SUM(COUNTIF($D$5:$D$571, {"Hybrid system overview","Electric vehicle guide","Infotainment system"})) &gt; 0,
    VLOOKUP(D522, 챕터!$D$4:$E$100, 2, FALSE),
    VLOOKUP(D522, 챕터!$B$4:$C$100, 2, FALSE)
  )
))</f>
        <v>5</v>
      </c>
      <c r="K522" s="57"/>
      <c r="L522"/>
      <c r="M522"/>
      <c r="N522" s="19"/>
      <c r="O522" s="1"/>
    </row>
    <row r="523" spans="2:15">
      <c r="B523" s="55">
        <v>519</v>
      </c>
      <c r="C523" t="s">
        <v>579</v>
      </c>
      <c r="D523" s="85" t="s">
        <v>26</v>
      </c>
      <c r="E523" s="59" t="s">
        <v>1</v>
      </c>
      <c r="F523" s="32">
        <v>4500</v>
      </c>
      <c r="G523" s="56">
        <v>1</v>
      </c>
      <c r="H523" s="32">
        <v>4500</v>
      </c>
      <c r="I523" s="58" t="str">
        <f t="shared" ca="1" si="8"/>
        <v>MV1_EV_27MY_KO</v>
      </c>
      <c r="J523" s="65" cm="1">
        <f t="array" ref="J523">IF(D523="","",IF(
  COUNTIF($D$5:$D$571, "Infotainment system") &gt; 0,
  VLOOKUP(D523, 챕터!$F$4:$G$100, 2, FALSE),
  IF(
    SUM(COUNTIF($D$5:$D$571, {"Hybrid system overview","Electric vehicle guide","Infotainment system"})) &gt; 0,
    VLOOKUP(D523, 챕터!$D$4:$E$100, 2, FALSE),
    VLOOKUP(D523, 챕터!$B$4:$C$100, 2, FALSE)
  )
))</f>
        <v>5</v>
      </c>
      <c r="K523" s="57"/>
      <c r="L523"/>
      <c r="M523"/>
      <c r="N523" s="19"/>
      <c r="O523" s="1"/>
    </row>
    <row r="524" spans="2:15">
      <c r="B524" s="55">
        <v>520</v>
      </c>
      <c r="C524" t="s">
        <v>580</v>
      </c>
      <c r="D524" s="85" t="s">
        <v>26</v>
      </c>
      <c r="E524" s="59" t="s">
        <v>1</v>
      </c>
      <c r="F524" s="32">
        <v>4500</v>
      </c>
      <c r="G524" s="56">
        <v>1</v>
      </c>
      <c r="H524" s="32">
        <v>4500</v>
      </c>
      <c r="I524" s="58" t="str">
        <f t="shared" ca="1" si="8"/>
        <v>MV1_EV_27MY_KO</v>
      </c>
      <c r="J524" s="65" cm="1">
        <f t="array" ref="J524">IF(D524="","",IF(
  COUNTIF($D$5:$D$571, "Infotainment system") &gt; 0,
  VLOOKUP(D524, 챕터!$F$4:$G$100, 2, FALSE),
  IF(
    SUM(COUNTIF($D$5:$D$571, {"Hybrid system overview","Electric vehicle guide","Infotainment system"})) &gt; 0,
    VLOOKUP(D524, 챕터!$D$4:$E$100, 2, FALSE),
    VLOOKUP(D524, 챕터!$B$4:$C$100, 2, FALSE)
  )
))</f>
        <v>5</v>
      </c>
      <c r="K524" s="57"/>
      <c r="L524"/>
      <c r="M524"/>
      <c r="N524" s="19"/>
      <c r="O524" s="1"/>
    </row>
    <row r="525" spans="2:15">
      <c r="B525" s="55">
        <v>521</v>
      </c>
      <c r="C525" t="s">
        <v>581</v>
      </c>
      <c r="D525" s="85" t="s">
        <v>26</v>
      </c>
      <c r="E525" s="59" t="s">
        <v>1</v>
      </c>
      <c r="F525" s="32">
        <v>4500</v>
      </c>
      <c r="G525" s="56">
        <v>1</v>
      </c>
      <c r="H525" s="32">
        <v>4500</v>
      </c>
      <c r="I525" s="58" t="str">
        <f t="shared" ca="1" si="8"/>
        <v>MV1_EV_27MY_KO</v>
      </c>
      <c r="J525" s="65" cm="1">
        <f t="array" ref="J525">IF(D525="","",IF(
  COUNTIF($D$5:$D$571, "Infotainment system") &gt; 0,
  VLOOKUP(D525, 챕터!$F$4:$G$100, 2, FALSE),
  IF(
    SUM(COUNTIF($D$5:$D$571, {"Hybrid system overview","Electric vehicle guide","Infotainment system"})) &gt; 0,
    VLOOKUP(D525, 챕터!$D$4:$E$100, 2, FALSE),
    VLOOKUP(D525, 챕터!$B$4:$C$100, 2, FALSE)
  )
))</f>
        <v>5</v>
      </c>
      <c r="K525" s="57"/>
      <c r="L525"/>
      <c r="M525"/>
      <c r="N525" s="19"/>
      <c r="O525" s="1"/>
    </row>
    <row r="526" spans="2:15">
      <c r="B526" s="55">
        <v>522</v>
      </c>
      <c r="C526" t="s">
        <v>582</v>
      </c>
      <c r="D526" s="85" t="s">
        <v>26</v>
      </c>
      <c r="E526" s="59" t="s">
        <v>1</v>
      </c>
      <c r="F526" s="32">
        <v>4500</v>
      </c>
      <c r="G526" s="56">
        <v>1</v>
      </c>
      <c r="H526" s="32">
        <v>4500</v>
      </c>
      <c r="I526" s="58" t="str">
        <f t="shared" ca="1" si="8"/>
        <v>MV1_EV_27MY_KO</v>
      </c>
      <c r="J526" s="65" cm="1">
        <f t="array" ref="J526">IF(D526="","",IF(
  COUNTIF($D$5:$D$571, "Infotainment system") &gt; 0,
  VLOOKUP(D526, 챕터!$F$4:$G$100, 2, FALSE),
  IF(
    SUM(COUNTIF($D$5:$D$571, {"Hybrid system overview","Electric vehicle guide","Infotainment system"})) &gt; 0,
    VLOOKUP(D526, 챕터!$D$4:$E$100, 2, FALSE),
    VLOOKUP(D526, 챕터!$B$4:$C$100, 2, FALSE)
  )
))</f>
        <v>5</v>
      </c>
      <c r="K526" s="57"/>
      <c r="L526"/>
      <c r="M526"/>
      <c r="N526" s="19"/>
      <c r="O526" s="1"/>
    </row>
    <row r="527" spans="2:15">
      <c r="B527" s="55">
        <v>523</v>
      </c>
      <c r="C527" t="s">
        <v>583</v>
      </c>
      <c r="D527" s="85" t="s">
        <v>26</v>
      </c>
      <c r="E527" s="59" t="s">
        <v>1</v>
      </c>
      <c r="F527" s="32">
        <v>4500</v>
      </c>
      <c r="G527" s="56">
        <v>1</v>
      </c>
      <c r="H527" s="32">
        <v>4500</v>
      </c>
      <c r="I527" s="58" t="str">
        <f t="shared" ca="1" si="8"/>
        <v>MV1_EV_27MY_KO</v>
      </c>
      <c r="J527" s="65" cm="1">
        <f t="array" ref="J527">IF(D527="","",IF(
  COUNTIF($D$5:$D$571, "Infotainment system") &gt; 0,
  VLOOKUP(D527, 챕터!$F$4:$G$100, 2, FALSE),
  IF(
    SUM(COUNTIF($D$5:$D$571, {"Hybrid system overview","Electric vehicle guide","Infotainment system"})) &gt; 0,
    VLOOKUP(D527, 챕터!$D$4:$E$100, 2, FALSE),
    VLOOKUP(D527, 챕터!$B$4:$C$100, 2, FALSE)
  )
))</f>
        <v>5</v>
      </c>
      <c r="K527" s="57"/>
      <c r="L527"/>
      <c r="M527"/>
      <c r="N527" s="19"/>
      <c r="O527" s="1"/>
    </row>
    <row r="528" spans="2:15">
      <c r="B528" s="55">
        <v>524</v>
      </c>
      <c r="C528" t="s">
        <v>584</v>
      </c>
      <c r="D528" s="85" t="s">
        <v>26</v>
      </c>
      <c r="E528" s="59" t="s">
        <v>1</v>
      </c>
      <c r="F528" s="32">
        <v>4500</v>
      </c>
      <c r="G528" s="56">
        <v>1</v>
      </c>
      <c r="H528" s="32">
        <v>4500</v>
      </c>
      <c r="I528" s="58" t="str">
        <f t="shared" ca="1" si="8"/>
        <v>MV1_EV_27MY_KO</v>
      </c>
      <c r="J528" s="65" cm="1">
        <f t="array" ref="J528">IF(D528="","",IF(
  COUNTIF($D$5:$D$571, "Infotainment system") &gt; 0,
  VLOOKUP(D528, 챕터!$F$4:$G$100, 2, FALSE),
  IF(
    SUM(COUNTIF($D$5:$D$571, {"Hybrid system overview","Electric vehicle guide","Infotainment system"})) &gt; 0,
    VLOOKUP(D528, 챕터!$D$4:$E$100, 2, FALSE),
    VLOOKUP(D528, 챕터!$B$4:$C$100, 2, FALSE)
  )
))</f>
        <v>5</v>
      </c>
      <c r="K528" s="57"/>
      <c r="L528"/>
      <c r="M528"/>
      <c r="N528" s="19"/>
      <c r="O528" s="1"/>
    </row>
    <row r="529" spans="2:15">
      <c r="B529" s="55">
        <v>525</v>
      </c>
      <c r="C529" t="s">
        <v>585</v>
      </c>
      <c r="D529" s="85" t="s">
        <v>26</v>
      </c>
      <c r="E529" s="59" t="s">
        <v>1</v>
      </c>
      <c r="F529" s="32">
        <v>4500</v>
      </c>
      <c r="G529" s="56">
        <v>1</v>
      </c>
      <c r="H529" s="32">
        <v>4500</v>
      </c>
      <c r="I529" s="58" t="str">
        <f t="shared" ca="1" si="8"/>
        <v>MV1_EV_27MY_KO</v>
      </c>
      <c r="J529" s="65" cm="1">
        <f t="array" ref="J529">IF(D529="","",IF(
  COUNTIF($D$5:$D$571, "Infotainment system") &gt; 0,
  VLOOKUP(D529, 챕터!$F$4:$G$100, 2, FALSE),
  IF(
    SUM(COUNTIF($D$5:$D$571, {"Hybrid system overview","Electric vehicle guide","Infotainment system"})) &gt; 0,
    VLOOKUP(D529, 챕터!$D$4:$E$100, 2, FALSE),
    VLOOKUP(D529, 챕터!$B$4:$C$100, 2, FALSE)
  )
))</f>
        <v>5</v>
      </c>
      <c r="K529" s="57"/>
      <c r="L529"/>
      <c r="M529"/>
      <c r="N529" s="19"/>
      <c r="O529" s="1"/>
    </row>
    <row r="530" spans="2:15">
      <c r="B530" s="55">
        <v>526</v>
      </c>
      <c r="C530" t="s">
        <v>586</v>
      </c>
      <c r="D530" s="85" t="s">
        <v>26</v>
      </c>
      <c r="E530" s="59" t="s">
        <v>1</v>
      </c>
      <c r="F530" s="32">
        <v>4500</v>
      </c>
      <c r="G530" s="56">
        <v>1</v>
      </c>
      <c r="H530" s="32">
        <v>4500</v>
      </c>
      <c r="I530" s="58" t="str">
        <f t="shared" ca="1" si="8"/>
        <v>MV1_EV_27MY_KO</v>
      </c>
      <c r="J530" s="65" cm="1">
        <f t="array" ref="J530">IF(D530="","",IF(
  COUNTIF($D$5:$D$571, "Infotainment system") &gt; 0,
  VLOOKUP(D530, 챕터!$F$4:$G$100, 2, FALSE),
  IF(
    SUM(COUNTIF($D$5:$D$571, {"Hybrid system overview","Electric vehicle guide","Infotainment system"})) &gt; 0,
    VLOOKUP(D530, 챕터!$D$4:$E$100, 2, FALSE),
    VLOOKUP(D530, 챕터!$B$4:$C$100, 2, FALSE)
  )
))</f>
        <v>5</v>
      </c>
      <c r="K530" s="57"/>
      <c r="L530"/>
      <c r="M530"/>
      <c r="N530" s="19"/>
      <c r="O530" s="1"/>
    </row>
    <row r="531" spans="2:15">
      <c r="B531" s="55">
        <v>527</v>
      </c>
      <c r="C531" t="s">
        <v>587</v>
      </c>
      <c r="D531" s="85" t="s">
        <v>26</v>
      </c>
      <c r="E531" s="59" t="s">
        <v>1</v>
      </c>
      <c r="F531" s="32">
        <v>4500</v>
      </c>
      <c r="G531" s="56">
        <v>1</v>
      </c>
      <c r="H531" s="32">
        <v>4500</v>
      </c>
      <c r="I531" s="58" t="str">
        <f t="shared" ca="1" si="8"/>
        <v>MV1_EV_27MY_KO</v>
      </c>
      <c r="J531" s="65" cm="1">
        <f t="array" ref="J531">IF(D531="","",IF(
  COUNTIF($D$5:$D$571, "Infotainment system") &gt; 0,
  VLOOKUP(D531, 챕터!$F$4:$G$100, 2, FALSE),
  IF(
    SUM(COUNTIF($D$5:$D$571, {"Hybrid system overview","Electric vehicle guide","Infotainment system"})) &gt; 0,
    VLOOKUP(D531, 챕터!$D$4:$E$100, 2, FALSE),
    VLOOKUP(D531, 챕터!$B$4:$C$100, 2, FALSE)
  )
))</f>
        <v>5</v>
      </c>
      <c r="K531" s="57"/>
      <c r="L531"/>
      <c r="M531"/>
      <c r="N531" s="19"/>
      <c r="O531" s="1"/>
    </row>
    <row r="532" spans="2:15">
      <c r="B532" s="55">
        <v>528</v>
      </c>
      <c r="C532" t="s">
        <v>588</v>
      </c>
      <c r="D532" s="85" t="s">
        <v>26</v>
      </c>
      <c r="E532" s="59" t="s">
        <v>1</v>
      </c>
      <c r="F532" s="32">
        <v>4500</v>
      </c>
      <c r="G532" s="56">
        <v>1</v>
      </c>
      <c r="H532" s="32">
        <v>4500</v>
      </c>
      <c r="I532" s="58" t="str">
        <f t="shared" ca="1" si="8"/>
        <v>MV1_EV_27MY_KO</v>
      </c>
      <c r="J532" s="65" cm="1">
        <f t="array" ref="J532">IF(D532="","",IF(
  COUNTIF($D$5:$D$571, "Infotainment system") &gt; 0,
  VLOOKUP(D532, 챕터!$F$4:$G$100, 2, FALSE),
  IF(
    SUM(COUNTIF($D$5:$D$571, {"Hybrid system overview","Electric vehicle guide","Infotainment system"})) &gt; 0,
    VLOOKUP(D532, 챕터!$D$4:$E$100, 2, FALSE),
    VLOOKUP(D532, 챕터!$B$4:$C$100, 2, FALSE)
  )
))</f>
        <v>5</v>
      </c>
      <c r="K532" s="57"/>
      <c r="L532"/>
      <c r="M532"/>
      <c r="N532" s="19"/>
      <c r="O532" s="1"/>
    </row>
    <row r="533" spans="2:15">
      <c r="B533" s="55">
        <v>529</v>
      </c>
      <c r="C533" t="s">
        <v>589</v>
      </c>
      <c r="D533" s="85" t="s">
        <v>26</v>
      </c>
      <c r="E533" s="59" t="s">
        <v>1</v>
      </c>
      <c r="F533" s="32">
        <v>4500</v>
      </c>
      <c r="G533" s="56">
        <v>1</v>
      </c>
      <c r="H533" s="32">
        <v>4500</v>
      </c>
      <c r="I533" s="58" t="str">
        <f t="shared" ca="1" si="8"/>
        <v>MV1_EV_27MY_KO</v>
      </c>
      <c r="J533" s="65" cm="1">
        <f t="array" ref="J533">IF(D533="","",IF(
  COUNTIF($D$5:$D$571, "Infotainment system") &gt; 0,
  VLOOKUP(D533, 챕터!$F$4:$G$100, 2, FALSE),
  IF(
    SUM(COUNTIF($D$5:$D$571, {"Hybrid system overview","Electric vehicle guide","Infotainment system"})) &gt; 0,
    VLOOKUP(D533, 챕터!$D$4:$E$100, 2, FALSE),
    VLOOKUP(D533, 챕터!$B$4:$C$100, 2, FALSE)
  )
))</f>
        <v>5</v>
      </c>
      <c r="K533" s="57"/>
      <c r="L533"/>
      <c r="M533"/>
      <c r="N533" s="19"/>
      <c r="O533" s="1"/>
    </row>
    <row r="534" spans="2:15">
      <c r="B534" s="55">
        <v>530</v>
      </c>
      <c r="C534" t="s">
        <v>590</v>
      </c>
      <c r="D534" s="85" t="s">
        <v>26</v>
      </c>
      <c r="E534" s="59" t="s">
        <v>1</v>
      </c>
      <c r="F534" s="32">
        <v>4500</v>
      </c>
      <c r="G534" s="56">
        <v>1</v>
      </c>
      <c r="H534" s="32">
        <v>4500</v>
      </c>
      <c r="I534" s="58" t="str">
        <f t="shared" ca="1" si="8"/>
        <v>MV1_EV_27MY_KO</v>
      </c>
      <c r="J534" s="65" cm="1">
        <f t="array" ref="J534">IF(D534="","",IF(
  COUNTIF($D$5:$D$571, "Infotainment system") &gt; 0,
  VLOOKUP(D534, 챕터!$F$4:$G$100, 2, FALSE),
  IF(
    SUM(COUNTIF($D$5:$D$571, {"Hybrid system overview","Electric vehicle guide","Infotainment system"})) &gt; 0,
    VLOOKUP(D534, 챕터!$D$4:$E$100, 2, FALSE),
    VLOOKUP(D534, 챕터!$B$4:$C$100, 2, FALSE)
  )
))</f>
        <v>5</v>
      </c>
      <c r="K534" s="57"/>
      <c r="L534"/>
      <c r="M534"/>
      <c r="N534" s="19"/>
      <c r="O534" s="1"/>
    </row>
    <row r="535" spans="2:15">
      <c r="B535" s="55">
        <v>531</v>
      </c>
      <c r="C535" t="s">
        <v>591</v>
      </c>
      <c r="D535" s="85" t="s">
        <v>26</v>
      </c>
      <c r="E535" s="59" t="s">
        <v>1</v>
      </c>
      <c r="F535" s="32">
        <v>4500</v>
      </c>
      <c r="G535" s="56">
        <v>1</v>
      </c>
      <c r="H535" s="32">
        <v>4500</v>
      </c>
      <c r="I535" s="58" t="str">
        <f t="shared" ca="1" si="8"/>
        <v>MV1_EV_27MY_KO</v>
      </c>
      <c r="J535" s="65" cm="1">
        <f t="array" ref="J535">IF(D535="","",IF(
  COUNTIF($D$5:$D$571, "Infotainment system") &gt; 0,
  VLOOKUP(D535, 챕터!$F$4:$G$100, 2, FALSE),
  IF(
    SUM(COUNTIF($D$5:$D$571, {"Hybrid system overview","Electric vehicle guide","Infotainment system"})) &gt; 0,
    VLOOKUP(D535, 챕터!$D$4:$E$100, 2, FALSE),
    VLOOKUP(D535, 챕터!$B$4:$C$100, 2, FALSE)
  )
))</f>
        <v>5</v>
      </c>
      <c r="K535" s="57"/>
      <c r="L535"/>
      <c r="M535"/>
      <c r="N535" s="19"/>
      <c r="O535" s="1"/>
    </row>
    <row r="536" spans="2:15">
      <c r="B536" s="55">
        <v>532</v>
      </c>
      <c r="C536" t="s">
        <v>592</v>
      </c>
      <c r="D536" s="85" t="s">
        <v>26</v>
      </c>
      <c r="E536" s="59" t="s">
        <v>1</v>
      </c>
      <c r="F536" s="32">
        <v>4500</v>
      </c>
      <c r="G536" s="56">
        <v>1</v>
      </c>
      <c r="H536" s="32">
        <v>4500</v>
      </c>
      <c r="I536" s="58" t="str">
        <f t="shared" ca="1" si="8"/>
        <v>MV1_EV_27MY_KO</v>
      </c>
      <c r="J536" s="65" cm="1">
        <f t="array" ref="J536">IF(D536="","",IF(
  COUNTIF($D$5:$D$571, "Infotainment system") &gt; 0,
  VLOOKUP(D536, 챕터!$F$4:$G$100, 2, FALSE),
  IF(
    SUM(COUNTIF($D$5:$D$571, {"Hybrid system overview","Electric vehicle guide","Infotainment system"})) &gt; 0,
    VLOOKUP(D536, 챕터!$D$4:$E$100, 2, FALSE),
    VLOOKUP(D536, 챕터!$B$4:$C$100, 2, FALSE)
  )
))</f>
        <v>5</v>
      </c>
      <c r="K536" s="57"/>
      <c r="L536"/>
      <c r="M536"/>
      <c r="N536" s="19"/>
      <c r="O536" s="1"/>
    </row>
    <row r="537" spans="2:15">
      <c r="B537" s="55">
        <v>533</v>
      </c>
      <c r="C537" t="s">
        <v>593</v>
      </c>
      <c r="D537" s="85" t="s">
        <v>26</v>
      </c>
      <c r="E537" s="59" t="s">
        <v>1</v>
      </c>
      <c r="F537" s="32">
        <v>4500</v>
      </c>
      <c r="G537" s="56">
        <v>1</v>
      </c>
      <c r="H537" s="32">
        <v>4500</v>
      </c>
      <c r="I537" s="58" t="str">
        <f t="shared" ca="1" si="8"/>
        <v>MV1_EV_27MY_KO</v>
      </c>
      <c r="J537" s="65" cm="1">
        <f t="array" ref="J537">IF(D537="","",IF(
  COUNTIF($D$5:$D$571, "Infotainment system") &gt; 0,
  VLOOKUP(D537, 챕터!$F$4:$G$100, 2, FALSE),
  IF(
    SUM(COUNTIF($D$5:$D$571, {"Hybrid system overview","Electric vehicle guide","Infotainment system"})) &gt; 0,
    VLOOKUP(D537, 챕터!$D$4:$E$100, 2, FALSE),
    VLOOKUP(D537, 챕터!$B$4:$C$100, 2, FALSE)
  )
))</f>
        <v>5</v>
      </c>
      <c r="K537" s="57"/>
      <c r="L537"/>
      <c r="M537"/>
      <c r="N537" s="19"/>
      <c r="O537" s="1"/>
    </row>
    <row r="538" spans="2:15">
      <c r="B538" s="55">
        <v>534</v>
      </c>
      <c r="C538" t="s">
        <v>594</v>
      </c>
      <c r="D538" s="85" t="s">
        <v>26</v>
      </c>
      <c r="E538" s="59" t="s">
        <v>1</v>
      </c>
      <c r="F538" s="32">
        <v>4500</v>
      </c>
      <c r="G538" s="56">
        <v>1</v>
      </c>
      <c r="H538" s="32">
        <v>4500</v>
      </c>
      <c r="I538" s="58" t="str">
        <f t="shared" ca="1" si="8"/>
        <v>MV1_EV_27MY_KO</v>
      </c>
      <c r="J538" s="65" cm="1">
        <f t="array" ref="J538">IF(D538="","",IF(
  COUNTIF($D$5:$D$571, "Infotainment system") &gt; 0,
  VLOOKUP(D538, 챕터!$F$4:$G$100, 2, FALSE),
  IF(
    SUM(COUNTIF($D$5:$D$571, {"Hybrid system overview","Electric vehicle guide","Infotainment system"})) &gt; 0,
    VLOOKUP(D538, 챕터!$D$4:$E$100, 2, FALSE),
    VLOOKUP(D538, 챕터!$B$4:$C$100, 2, FALSE)
  )
))</f>
        <v>5</v>
      </c>
      <c r="K538" s="57"/>
      <c r="L538"/>
      <c r="M538"/>
      <c r="N538" s="19"/>
      <c r="O538" s="1"/>
    </row>
    <row r="539" spans="2:15">
      <c r="B539" s="55">
        <v>535</v>
      </c>
      <c r="C539" t="s">
        <v>595</v>
      </c>
      <c r="D539" s="85" t="s">
        <v>26</v>
      </c>
      <c r="E539" s="59" t="s">
        <v>1</v>
      </c>
      <c r="F539" s="32">
        <v>4500</v>
      </c>
      <c r="G539" s="56">
        <v>1</v>
      </c>
      <c r="H539" s="32">
        <v>4500</v>
      </c>
      <c r="I539" s="58" t="str">
        <f t="shared" ca="1" si="8"/>
        <v>MV1_EV_27MY_KO</v>
      </c>
      <c r="J539" s="65" cm="1">
        <f t="array" ref="J539">IF(D539="","",IF(
  COUNTIF($D$5:$D$571, "Infotainment system") &gt; 0,
  VLOOKUP(D539, 챕터!$F$4:$G$100, 2, FALSE),
  IF(
    SUM(COUNTIF($D$5:$D$571, {"Hybrid system overview","Electric vehicle guide","Infotainment system"})) &gt; 0,
    VLOOKUP(D539, 챕터!$D$4:$E$100, 2, FALSE),
    VLOOKUP(D539, 챕터!$B$4:$C$100, 2, FALSE)
  )
))</f>
        <v>5</v>
      </c>
      <c r="K539" s="57"/>
      <c r="L539"/>
      <c r="M539"/>
      <c r="N539" s="19"/>
      <c r="O539" s="1"/>
    </row>
    <row r="540" spans="2:15">
      <c r="B540" s="55">
        <v>536</v>
      </c>
      <c r="C540" t="s">
        <v>596</v>
      </c>
      <c r="D540" s="85" t="s">
        <v>26</v>
      </c>
      <c r="E540" s="59" t="s">
        <v>1</v>
      </c>
      <c r="F540" s="32">
        <v>4500</v>
      </c>
      <c r="G540" s="56">
        <v>1</v>
      </c>
      <c r="H540" s="32">
        <v>4500</v>
      </c>
      <c r="I540" s="58" t="str">
        <f t="shared" ca="1" si="8"/>
        <v>MV1_EV_27MY_KO</v>
      </c>
      <c r="J540" s="65" cm="1">
        <f t="array" ref="J540">IF(D540="","",IF(
  COUNTIF($D$5:$D$571, "Infotainment system") &gt; 0,
  VLOOKUP(D540, 챕터!$F$4:$G$100, 2, FALSE),
  IF(
    SUM(COUNTIF($D$5:$D$571, {"Hybrid system overview","Electric vehicle guide","Infotainment system"})) &gt; 0,
    VLOOKUP(D540, 챕터!$D$4:$E$100, 2, FALSE),
    VLOOKUP(D540, 챕터!$B$4:$C$100, 2, FALSE)
  )
))</f>
        <v>5</v>
      </c>
      <c r="K540" s="57"/>
      <c r="L540"/>
      <c r="M540"/>
      <c r="N540" s="19"/>
      <c r="O540" s="1"/>
    </row>
    <row r="541" spans="2:15">
      <c r="B541" s="55">
        <v>537</v>
      </c>
      <c r="C541" t="s">
        <v>597</v>
      </c>
      <c r="D541" s="85" t="s">
        <v>26</v>
      </c>
      <c r="E541" s="59" t="s">
        <v>1</v>
      </c>
      <c r="F541" s="32">
        <v>4500</v>
      </c>
      <c r="G541" s="56">
        <v>1</v>
      </c>
      <c r="H541" s="32">
        <v>4500</v>
      </c>
      <c r="I541" s="58" t="str">
        <f t="shared" ca="1" si="8"/>
        <v>MV1_EV_27MY_KO</v>
      </c>
      <c r="J541" s="65" cm="1">
        <f t="array" ref="J541">IF(D541="","",IF(
  COUNTIF($D$5:$D$571, "Infotainment system") &gt; 0,
  VLOOKUP(D541, 챕터!$F$4:$G$100, 2, FALSE),
  IF(
    SUM(COUNTIF($D$5:$D$571, {"Hybrid system overview","Electric vehicle guide","Infotainment system"})) &gt; 0,
    VLOOKUP(D541, 챕터!$D$4:$E$100, 2, FALSE),
    VLOOKUP(D541, 챕터!$B$4:$C$100, 2, FALSE)
  )
))</f>
        <v>5</v>
      </c>
      <c r="K541" s="57"/>
      <c r="L541"/>
      <c r="M541"/>
      <c r="N541" s="19"/>
      <c r="O541" s="1"/>
    </row>
    <row r="542" spans="2:15">
      <c r="B542" s="55">
        <v>538</v>
      </c>
      <c r="C542" t="s">
        <v>598</v>
      </c>
      <c r="D542" s="85" t="s">
        <v>630</v>
      </c>
      <c r="E542" s="59" t="s">
        <v>1</v>
      </c>
      <c r="F542" s="32">
        <v>4500</v>
      </c>
      <c r="G542" s="56">
        <v>1</v>
      </c>
      <c r="H542" s="32">
        <v>4500</v>
      </c>
      <c r="I542" s="58" t="str">
        <f t="shared" ca="1" si="8"/>
        <v>MV1_EV_27MY_KO</v>
      </c>
      <c r="J542" s="65" cm="1">
        <f t="array" ref="J542">IF(D542="","",IF(
  COUNTIF($D$5:$D$571, "Infotainment system") &gt; 0,
  VLOOKUP(D542, 챕터!$F$4:$G$100, 2, FALSE),
  IF(
    SUM(COUNTIF($D$5:$D$571, {"Hybrid system overview","Electric vehicle guide","Infotainment system"})) &gt; 0,
    VLOOKUP(D542, 챕터!$D$4:$E$100, 2, FALSE),
    VLOOKUP(D542, 챕터!$B$4:$C$100, 2, FALSE)
  )
))</f>
        <v>6</v>
      </c>
      <c r="K542" s="57"/>
      <c r="L542"/>
      <c r="M542"/>
      <c r="N542" s="19"/>
      <c r="O542" s="1"/>
    </row>
    <row r="543" spans="2:15">
      <c r="B543" s="55">
        <v>539</v>
      </c>
      <c r="C543" t="s">
        <v>599</v>
      </c>
      <c r="D543" s="85" t="s">
        <v>630</v>
      </c>
      <c r="E543" s="59" t="s">
        <v>1</v>
      </c>
      <c r="F543" s="32">
        <v>4500</v>
      </c>
      <c r="G543" s="56">
        <v>1</v>
      </c>
      <c r="H543" s="32">
        <v>4500</v>
      </c>
      <c r="I543" s="58" t="str">
        <f t="shared" ca="1" si="8"/>
        <v>MV1_EV_27MY_KO</v>
      </c>
      <c r="J543" s="65" cm="1">
        <f t="array" ref="J543">IF(D543="","",IF(
  COUNTIF($D$5:$D$571, "Infotainment system") &gt; 0,
  VLOOKUP(D543, 챕터!$F$4:$G$100, 2, FALSE),
  IF(
    SUM(COUNTIF($D$5:$D$571, {"Hybrid system overview","Electric vehicle guide","Infotainment system"})) &gt; 0,
    VLOOKUP(D543, 챕터!$D$4:$E$100, 2, FALSE),
    VLOOKUP(D543, 챕터!$B$4:$C$100, 2, FALSE)
  )
))</f>
        <v>6</v>
      </c>
      <c r="K543" s="57"/>
      <c r="L543"/>
      <c r="M543"/>
      <c r="N543" s="19"/>
      <c r="O543" s="1"/>
    </row>
    <row r="544" spans="2:15">
      <c r="B544" s="55">
        <v>540</v>
      </c>
      <c r="C544" t="s">
        <v>600</v>
      </c>
      <c r="D544" s="85" t="s">
        <v>630</v>
      </c>
      <c r="E544" s="59" t="s">
        <v>1</v>
      </c>
      <c r="F544" s="32">
        <v>4500</v>
      </c>
      <c r="G544" s="56">
        <v>1</v>
      </c>
      <c r="H544" s="32">
        <v>4500</v>
      </c>
      <c r="I544" s="58" t="str">
        <f t="shared" ca="1" si="8"/>
        <v>MV1_EV_27MY_KO</v>
      </c>
      <c r="J544" s="65" cm="1">
        <f t="array" ref="J544">IF(D544="","",IF(
  COUNTIF($D$5:$D$571, "Infotainment system") &gt; 0,
  VLOOKUP(D544, 챕터!$F$4:$G$100, 2, FALSE),
  IF(
    SUM(COUNTIF($D$5:$D$571, {"Hybrid system overview","Electric vehicle guide","Infotainment system"})) &gt; 0,
    VLOOKUP(D544, 챕터!$D$4:$E$100, 2, FALSE),
    VLOOKUP(D544, 챕터!$B$4:$C$100, 2, FALSE)
  )
))</f>
        <v>6</v>
      </c>
      <c r="K544" s="57"/>
      <c r="L544"/>
      <c r="M544"/>
      <c r="N544" s="19"/>
      <c r="O544" s="1"/>
    </row>
    <row r="545" spans="2:15">
      <c r="B545" s="55">
        <v>541</v>
      </c>
      <c r="C545" t="s">
        <v>601</v>
      </c>
      <c r="D545" s="85" t="s">
        <v>630</v>
      </c>
      <c r="E545" s="59" t="s">
        <v>1</v>
      </c>
      <c r="F545" s="32">
        <v>4500</v>
      </c>
      <c r="G545" s="56">
        <v>1</v>
      </c>
      <c r="H545" s="32">
        <v>4500</v>
      </c>
      <c r="I545" s="58" t="str">
        <f t="shared" ca="1" si="8"/>
        <v>MV1_EV_27MY_KO</v>
      </c>
      <c r="J545" s="65" cm="1">
        <f t="array" ref="J545">IF(D545="","",IF(
  COUNTIF($D$5:$D$571, "Infotainment system") &gt; 0,
  VLOOKUP(D545, 챕터!$F$4:$G$100, 2, FALSE),
  IF(
    SUM(COUNTIF($D$5:$D$571, {"Hybrid system overview","Electric vehicle guide","Infotainment system"})) &gt; 0,
    VLOOKUP(D545, 챕터!$D$4:$E$100, 2, FALSE),
    VLOOKUP(D545, 챕터!$B$4:$C$100, 2, FALSE)
  )
))</f>
        <v>6</v>
      </c>
      <c r="K545" s="57"/>
      <c r="L545"/>
      <c r="M545"/>
      <c r="N545" s="19"/>
      <c r="O545" s="1"/>
    </row>
    <row r="546" spans="2:15">
      <c r="B546" s="55">
        <v>542</v>
      </c>
      <c r="C546" t="s">
        <v>602</v>
      </c>
      <c r="D546" s="85" t="s">
        <v>630</v>
      </c>
      <c r="E546" s="59" t="s">
        <v>1</v>
      </c>
      <c r="F546" s="32">
        <v>4500</v>
      </c>
      <c r="G546" s="56">
        <v>1</v>
      </c>
      <c r="H546" s="32">
        <v>4500</v>
      </c>
      <c r="I546" s="58" t="str">
        <f t="shared" ca="1" si="8"/>
        <v>MV1_EV_27MY_KO</v>
      </c>
      <c r="J546" s="65" cm="1">
        <f t="array" ref="J546">IF(D546="","",IF(
  COUNTIF($D$5:$D$571, "Infotainment system") &gt; 0,
  VLOOKUP(D546, 챕터!$F$4:$G$100, 2, FALSE),
  IF(
    SUM(COUNTIF($D$5:$D$571, {"Hybrid system overview","Electric vehicle guide","Infotainment system"})) &gt; 0,
    VLOOKUP(D546, 챕터!$D$4:$E$100, 2, FALSE),
    VLOOKUP(D546, 챕터!$B$4:$C$100, 2, FALSE)
  )
))</f>
        <v>6</v>
      </c>
      <c r="K546" s="57"/>
      <c r="L546"/>
      <c r="M546"/>
      <c r="N546" s="19"/>
      <c r="O546" s="1"/>
    </row>
    <row r="547" spans="2:15">
      <c r="B547" s="55">
        <v>543</v>
      </c>
      <c r="C547" t="s">
        <v>603</v>
      </c>
      <c r="D547" s="85" t="s">
        <v>631</v>
      </c>
      <c r="E547" s="59" t="s">
        <v>1</v>
      </c>
      <c r="F547" s="32">
        <v>4500</v>
      </c>
      <c r="G547" s="56">
        <v>1</v>
      </c>
      <c r="H547" s="32">
        <v>4500</v>
      </c>
      <c r="I547" s="58" t="str">
        <f t="shared" ca="1" si="8"/>
        <v>MV1_EV_27MY_KO</v>
      </c>
      <c r="J547" s="65" cm="1">
        <f t="array" ref="J547">IF(D547="","",IF(
  COUNTIF($D$5:$D$571, "Infotainment system") &gt; 0,
  VLOOKUP(D547, 챕터!$F$4:$G$100, 2, FALSE),
  IF(
    SUM(COUNTIF($D$5:$D$571, {"Hybrid system overview","Electric vehicle guide","Infotainment system"})) &gt; 0,
    VLOOKUP(D547, 챕터!$D$4:$E$100, 2, FALSE),
    VLOOKUP(D547, 챕터!$B$4:$C$100, 2, FALSE)
  )
))</f>
        <v>7</v>
      </c>
      <c r="K547" s="57"/>
      <c r="L547"/>
      <c r="M547"/>
      <c r="N547" s="19"/>
      <c r="O547" s="1"/>
    </row>
    <row r="548" spans="2:15">
      <c r="B548" s="55">
        <v>544</v>
      </c>
      <c r="C548" t="s">
        <v>604</v>
      </c>
      <c r="D548" s="85" t="s">
        <v>27</v>
      </c>
      <c r="E548" s="59" t="s">
        <v>1</v>
      </c>
      <c r="F548" s="32">
        <v>4500</v>
      </c>
      <c r="G548" s="56">
        <v>1</v>
      </c>
      <c r="H548" s="32">
        <v>4500</v>
      </c>
      <c r="I548" s="58" t="str">
        <f t="shared" ca="1" si="8"/>
        <v>MV1_EV_27MY_KO</v>
      </c>
      <c r="J548" s="65" cm="1">
        <f t="array" ref="J548">IF(D548="","",IF(
  COUNTIF($D$5:$D$571, "Infotainment system") &gt; 0,
  VLOOKUP(D548, 챕터!$F$4:$G$100, 2, FALSE),
  IF(
    SUM(COUNTIF($D$5:$D$571, {"Hybrid system overview","Electric vehicle guide","Infotainment system"})) &gt; 0,
    VLOOKUP(D548, 챕터!$D$4:$E$100, 2, FALSE),
    VLOOKUP(D548, 챕터!$B$4:$C$100, 2, FALSE)
  )
))</f>
        <v>7</v>
      </c>
      <c r="K548" s="57"/>
      <c r="L548"/>
      <c r="M548"/>
      <c r="N548" s="19"/>
      <c r="O548" s="1"/>
    </row>
    <row r="549" spans="2:15">
      <c r="B549" s="55">
        <v>545</v>
      </c>
      <c r="C549" t="s">
        <v>605</v>
      </c>
      <c r="D549" s="85" t="s">
        <v>27</v>
      </c>
      <c r="E549" s="59" t="s">
        <v>1</v>
      </c>
      <c r="F549" s="32">
        <v>4500</v>
      </c>
      <c r="G549" s="56">
        <v>1</v>
      </c>
      <c r="H549" s="32">
        <v>4500</v>
      </c>
      <c r="I549" s="58" t="str">
        <f t="shared" ca="1" si="8"/>
        <v>MV1_EV_27MY_KO</v>
      </c>
      <c r="J549" s="65" cm="1">
        <f t="array" ref="J549">IF(D549="","",IF(
  COUNTIF($D$5:$D$571, "Infotainment system") &gt; 0,
  VLOOKUP(D549, 챕터!$F$4:$G$100, 2, FALSE),
  IF(
    SUM(COUNTIF($D$5:$D$571, {"Hybrid system overview","Electric vehicle guide","Infotainment system"})) &gt; 0,
    VLOOKUP(D549, 챕터!$D$4:$E$100, 2, FALSE),
    VLOOKUP(D549, 챕터!$B$4:$C$100, 2, FALSE)
  )
))</f>
        <v>7</v>
      </c>
      <c r="K549" s="57"/>
      <c r="L549"/>
      <c r="M549"/>
      <c r="N549" s="19"/>
      <c r="O549" s="1"/>
    </row>
    <row r="550" spans="2:15">
      <c r="B550" s="55">
        <v>546</v>
      </c>
      <c r="C550" t="s">
        <v>606</v>
      </c>
      <c r="D550" s="85" t="s">
        <v>27</v>
      </c>
      <c r="E550" s="59" t="s">
        <v>1</v>
      </c>
      <c r="F550" s="32">
        <v>4500</v>
      </c>
      <c r="G550" s="56">
        <v>1</v>
      </c>
      <c r="H550" s="32">
        <v>4500</v>
      </c>
      <c r="I550" s="58" t="str">
        <f t="shared" ca="1" si="8"/>
        <v>MV1_EV_27MY_KO</v>
      </c>
      <c r="J550" s="65" cm="1">
        <f t="array" ref="J550">IF(D550="","",IF(
  COUNTIF($D$5:$D$571, "Infotainment system") &gt; 0,
  VLOOKUP(D550, 챕터!$F$4:$G$100, 2, FALSE),
  IF(
    SUM(COUNTIF($D$5:$D$571, {"Hybrid system overview","Electric vehicle guide","Infotainment system"})) &gt; 0,
    VLOOKUP(D550, 챕터!$D$4:$E$100, 2, FALSE),
    VLOOKUP(D550, 챕터!$B$4:$C$100, 2, FALSE)
  )
))</f>
        <v>7</v>
      </c>
      <c r="K550" s="57"/>
      <c r="L550"/>
      <c r="M550"/>
      <c r="N550" s="19"/>
      <c r="O550" s="1"/>
    </row>
    <row r="551" spans="2:15">
      <c r="B551" s="55">
        <v>547</v>
      </c>
      <c r="C551" t="s">
        <v>607</v>
      </c>
      <c r="D551" s="85" t="s">
        <v>27</v>
      </c>
      <c r="E551" s="59" t="s">
        <v>1</v>
      </c>
      <c r="F551" s="32">
        <v>4500</v>
      </c>
      <c r="G551" s="56">
        <v>1</v>
      </c>
      <c r="H551" s="32">
        <v>4500</v>
      </c>
      <c r="I551" s="58" t="str">
        <f t="shared" ca="1" si="8"/>
        <v>MV1_EV_27MY_KO</v>
      </c>
      <c r="J551" s="65" cm="1">
        <f t="array" ref="J551">IF(D551="","",IF(
  COUNTIF($D$5:$D$571, "Infotainment system") &gt; 0,
  VLOOKUP(D551, 챕터!$F$4:$G$100, 2, FALSE),
  IF(
    SUM(COUNTIF($D$5:$D$571, {"Hybrid system overview","Electric vehicle guide","Infotainment system"})) &gt; 0,
    VLOOKUP(D551, 챕터!$D$4:$E$100, 2, FALSE),
    VLOOKUP(D551, 챕터!$B$4:$C$100, 2, FALSE)
  )
))</f>
        <v>7</v>
      </c>
      <c r="K551" s="57"/>
      <c r="L551"/>
      <c r="M551"/>
      <c r="N551" s="19"/>
      <c r="O551" s="1"/>
    </row>
    <row r="552" spans="2:15">
      <c r="B552" s="55">
        <v>548</v>
      </c>
      <c r="C552" t="s">
        <v>608</v>
      </c>
      <c r="D552" s="85" t="s">
        <v>27</v>
      </c>
      <c r="E552" s="59" t="s">
        <v>1</v>
      </c>
      <c r="F552" s="32">
        <v>4500</v>
      </c>
      <c r="G552" s="56">
        <v>1</v>
      </c>
      <c r="H552" s="32">
        <v>4500</v>
      </c>
      <c r="I552" s="58" t="str">
        <f t="shared" ca="1" si="8"/>
        <v>MV1_EV_27MY_KO</v>
      </c>
      <c r="J552" s="65" cm="1">
        <f t="array" ref="J552">IF(D552="","",IF(
  COUNTIF($D$5:$D$571, "Infotainment system") &gt; 0,
  VLOOKUP(D552, 챕터!$F$4:$G$100, 2, FALSE),
  IF(
    SUM(COUNTIF($D$5:$D$571, {"Hybrid system overview","Electric vehicle guide","Infotainment system"})) &gt; 0,
    VLOOKUP(D552, 챕터!$D$4:$E$100, 2, FALSE),
    VLOOKUP(D552, 챕터!$B$4:$C$100, 2, FALSE)
  )
))</f>
        <v>7</v>
      </c>
      <c r="K552" s="57"/>
      <c r="L552"/>
      <c r="M552"/>
      <c r="N552" s="19"/>
      <c r="O552" s="1"/>
    </row>
    <row r="553" spans="2:15">
      <c r="B553" s="55">
        <v>549</v>
      </c>
      <c r="C553" t="s">
        <v>609</v>
      </c>
      <c r="D553" s="85" t="s">
        <v>27</v>
      </c>
      <c r="E553" s="59" t="s">
        <v>1</v>
      </c>
      <c r="F553" s="32">
        <v>4500</v>
      </c>
      <c r="G553" s="56">
        <v>1</v>
      </c>
      <c r="H553" s="32">
        <v>4500</v>
      </c>
      <c r="I553" s="58" t="str">
        <f t="shared" ca="1" si="8"/>
        <v>MV1_EV_27MY_KO</v>
      </c>
      <c r="J553" s="65" cm="1">
        <f t="array" ref="J553">IF(D553="","",IF(
  COUNTIF($D$5:$D$571, "Infotainment system") &gt; 0,
  VLOOKUP(D553, 챕터!$F$4:$G$100, 2, FALSE),
  IF(
    SUM(COUNTIF($D$5:$D$571, {"Hybrid system overview","Electric vehicle guide","Infotainment system"})) &gt; 0,
    VLOOKUP(D553, 챕터!$D$4:$E$100, 2, FALSE),
    VLOOKUP(D553, 챕터!$B$4:$C$100, 2, FALSE)
  )
))</f>
        <v>7</v>
      </c>
      <c r="K553" s="57"/>
      <c r="L553"/>
      <c r="M553"/>
      <c r="N553" s="19"/>
      <c r="O553" s="1"/>
    </row>
    <row r="554" spans="2:15">
      <c r="B554" s="55">
        <v>550</v>
      </c>
      <c r="C554" t="s">
        <v>610</v>
      </c>
      <c r="D554" s="85" t="s">
        <v>27</v>
      </c>
      <c r="E554" s="59" t="s">
        <v>1</v>
      </c>
      <c r="F554" s="32">
        <v>4500</v>
      </c>
      <c r="G554" s="56">
        <v>1</v>
      </c>
      <c r="H554" s="32">
        <v>4500</v>
      </c>
      <c r="I554" s="58" t="str">
        <f t="shared" ca="1" si="8"/>
        <v>MV1_EV_27MY_KO</v>
      </c>
      <c r="J554" s="65" cm="1">
        <f t="array" ref="J554">IF(D554="","",IF(
  COUNTIF($D$5:$D$571, "Infotainment system") &gt; 0,
  VLOOKUP(D554, 챕터!$F$4:$G$100, 2, FALSE),
  IF(
    SUM(COUNTIF($D$5:$D$571, {"Hybrid system overview","Electric vehicle guide","Infotainment system"})) &gt; 0,
    VLOOKUP(D554, 챕터!$D$4:$E$100, 2, FALSE),
    VLOOKUP(D554, 챕터!$B$4:$C$100, 2, FALSE)
  )
))</f>
        <v>7</v>
      </c>
      <c r="K554" s="57"/>
      <c r="L554"/>
      <c r="M554"/>
      <c r="N554" s="19"/>
      <c r="O554" s="1"/>
    </row>
    <row r="555" spans="2:15">
      <c r="B555" s="55">
        <v>551</v>
      </c>
      <c r="C555" t="s">
        <v>611</v>
      </c>
      <c r="D555" s="85" t="s">
        <v>27</v>
      </c>
      <c r="E555" s="59" t="s">
        <v>1</v>
      </c>
      <c r="F555" s="32">
        <v>4500</v>
      </c>
      <c r="G555" s="56">
        <v>1</v>
      </c>
      <c r="H555" s="32">
        <v>4500</v>
      </c>
      <c r="I555" s="58" t="str">
        <f t="shared" ca="1" si="8"/>
        <v>MV1_EV_27MY_KO</v>
      </c>
      <c r="J555" s="65" cm="1">
        <f t="array" ref="J555">IF(D555="","",IF(
  COUNTIF($D$5:$D$571, "Infotainment system") &gt; 0,
  VLOOKUP(D555, 챕터!$F$4:$G$100, 2, FALSE),
  IF(
    SUM(COUNTIF($D$5:$D$571, {"Hybrid system overview","Electric vehicle guide","Infotainment system"})) &gt; 0,
    VLOOKUP(D555, 챕터!$D$4:$E$100, 2, FALSE),
    VLOOKUP(D555, 챕터!$B$4:$C$100, 2, FALSE)
  )
))</f>
        <v>7</v>
      </c>
      <c r="K555" s="57"/>
      <c r="L555"/>
      <c r="M555"/>
      <c r="N555" s="19"/>
      <c r="O555" s="1"/>
    </row>
    <row r="556" spans="2:15">
      <c r="B556" s="55">
        <v>552</v>
      </c>
      <c r="C556" t="s">
        <v>612</v>
      </c>
      <c r="D556" s="85" t="s">
        <v>27</v>
      </c>
      <c r="E556" s="59" t="s">
        <v>1</v>
      </c>
      <c r="F556" s="32">
        <v>4500</v>
      </c>
      <c r="G556" s="56">
        <v>1</v>
      </c>
      <c r="H556" s="32">
        <v>4500</v>
      </c>
      <c r="I556" s="58" t="str">
        <f t="shared" ca="1" si="8"/>
        <v>MV1_EV_27MY_KO</v>
      </c>
      <c r="J556" s="65" cm="1">
        <f t="array" ref="J556">IF(D556="","",IF(
  COUNTIF($D$5:$D$571, "Infotainment system") &gt; 0,
  VLOOKUP(D556, 챕터!$F$4:$G$100, 2, FALSE),
  IF(
    SUM(COUNTIF($D$5:$D$571, {"Hybrid system overview","Electric vehicle guide","Infotainment system"})) &gt; 0,
    VLOOKUP(D556, 챕터!$D$4:$E$100, 2, FALSE),
    VLOOKUP(D556, 챕터!$B$4:$C$100, 2, FALSE)
  )
))</f>
        <v>7</v>
      </c>
      <c r="K556" s="57"/>
      <c r="L556"/>
      <c r="M556"/>
      <c r="N556" s="19"/>
      <c r="O556" s="1"/>
    </row>
    <row r="557" spans="2:15">
      <c r="B557" s="55">
        <v>553</v>
      </c>
      <c r="C557" t="s">
        <v>613</v>
      </c>
      <c r="D557" s="85" t="s">
        <v>27</v>
      </c>
      <c r="E557" s="59" t="s">
        <v>1</v>
      </c>
      <c r="F557" s="32">
        <v>4500</v>
      </c>
      <c r="G557" s="56">
        <v>1</v>
      </c>
      <c r="H557" s="32">
        <v>4500</v>
      </c>
      <c r="I557" s="58" t="str">
        <f t="shared" ca="1" si="8"/>
        <v>MV1_EV_27MY_KO</v>
      </c>
      <c r="J557" s="65" cm="1">
        <f t="array" ref="J557">IF(D557="","",IF(
  COUNTIF($D$5:$D$571, "Infotainment system") &gt; 0,
  VLOOKUP(D557, 챕터!$F$4:$G$100, 2, FALSE),
  IF(
    SUM(COUNTIF($D$5:$D$571, {"Hybrid system overview","Electric vehicle guide","Infotainment system"})) &gt; 0,
    VLOOKUP(D557, 챕터!$D$4:$E$100, 2, FALSE),
    VLOOKUP(D557, 챕터!$B$4:$C$100, 2, FALSE)
  )
))</f>
        <v>7</v>
      </c>
      <c r="K557" s="57"/>
      <c r="L557"/>
      <c r="M557"/>
      <c r="N557" s="19"/>
      <c r="O557" s="1"/>
    </row>
    <row r="558" spans="2:15">
      <c r="B558" s="55">
        <v>554</v>
      </c>
      <c r="C558" t="s">
        <v>614</v>
      </c>
      <c r="D558" s="85" t="s">
        <v>27</v>
      </c>
      <c r="E558" s="59" t="s">
        <v>1</v>
      </c>
      <c r="F558" s="32">
        <v>4500</v>
      </c>
      <c r="G558" s="56">
        <v>1</v>
      </c>
      <c r="H558" s="32">
        <v>4500</v>
      </c>
      <c r="I558" s="58" t="str">
        <f t="shared" ca="1" si="8"/>
        <v>MV1_EV_27MY_KO</v>
      </c>
      <c r="J558" s="65" cm="1">
        <f t="array" ref="J558">IF(D558="","",IF(
  COUNTIF($D$5:$D$571, "Infotainment system") &gt; 0,
  VLOOKUP(D558, 챕터!$F$4:$G$100, 2, FALSE),
  IF(
    SUM(COUNTIF($D$5:$D$571, {"Hybrid system overview","Electric vehicle guide","Infotainment system"})) &gt; 0,
    VLOOKUP(D558, 챕터!$D$4:$E$100, 2, FALSE),
    VLOOKUP(D558, 챕터!$B$4:$C$100, 2, FALSE)
  )
))</f>
        <v>7</v>
      </c>
      <c r="K558" s="57"/>
      <c r="L558"/>
      <c r="M558"/>
      <c r="N558" s="19"/>
      <c r="O558" s="1"/>
    </row>
    <row r="559" spans="2:15">
      <c r="B559" s="55">
        <v>555</v>
      </c>
      <c r="C559" t="s">
        <v>615</v>
      </c>
      <c r="D559" s="85" t="s">
        <v>27</v>
      </c>
      <c r="E559" s="59" t="s">
        <v>1</v>
      </c>
      <c r="F559" s="32">
        <v>4500</v>
      </c>
      <c r="G559" s="56">
        <v>1</v>
      </c>
      <c r="H559" s="32">
        <v>4500</v>
      </c>
      <c r="I559" s="58" t="str">
        <f t="shared" ca="1" si="8"/>
        <v>MV1_EV_27MY_KO</v>
      </c>
      <c r="J559" s="65" cm="1">
        <f t="array" ref="J559">IF(D559="","",IF(
  COUNTIF($D$5:$D$571, "Infotainment system") &gt; 0,
  VLOOKUP(D559, 챕터!$F$4:$G$100, 2, FALSE),
  IF(
    SUM(COUNTIF($D$5:$D$571, {"Hybrid system overview","Electric vehicle guide","Infotainment system"})) &gt; 0,
    VLOOKUP(D559, 챕터!$D$4:$E$100, 2, FALSE),
    VLOOKUP(D559, 챕터!$B$4:$C$100, 2, FALSE)
  )
))</f>
        <v>7</v>
      </c>
      <c r="K559" s="57"/>
      <c r="L559"/>
      <c r="M559"/>
      <c r="N559" s="19"/>
      <c r="O559" s="1"/>
    </row>
    <row r="560" spans="2:15">
      <c r="B560" s="55">
        <v>556</v>
      </c>
      <c r="C560" t="s">
        <v>616</v>
      </c>
      <c r="D560" s="85" t="s">
        <v>27</v>
      </c>
      <c r="E560" s="59" t="s">
        <v>1</v>
      </c>
      <c r="F560" s="32">
        <v>4500</v>
      </c>
      <c r="G560" s="56">
        <v>1</v>
      </c>
      <c r="H560" s="32">
        <v>4500</v>
      </c>
      <c r="I560" s="58" t="str">
        <f t="shared" ca="1" si="8"/>
        <v>MV1_EV_27MY_KO</v>
      </c>
      <c r="J560" s="65" cm="1">
        <f t="array" ref="J560">IF(D560="","",IF(
  COUNTIF($D$5:$D$571, "Infotainment system") &gt; 0,
  VLOOKUP(D560, 챕터!$F$4:$G$100, 2, FALSE),
  IF(
    SUM(COUNTIF($D$5:$D$571, {"Hybrid system overview","Electric vehicle guide","Infotainment system"})) &gt; 0,
    VLOOKUP(D560, 챕터!$D$4:$E$100, 2, FALSE),
    VLOOKUP(D560, 챕터!$B$4:$C$100, 2, FALSE)
  )
))</f>
        <v>7</v>
      </c>
      <c r="K560" s="57"/>
      <c r="L560"/>
      <c r="M560"/>
      <c r="N560" s="19"/>
      <c r="O560" s="1"/>
    </row>
    <row r="561" spans="2:15">
      <c r="B561" s="55">
        <v>557</v>
      </c>
      <c r="C561" t="s">
        <v>617</v>
      </c>
      <c r="D561" s="85" t="s">
        <v>27</v>
      </c>
      <c r="E561" s="59" t="s">
        <v>1</v>
      </c>
      <c r="F561" s="32">
        <v>4500</v>
      </c>
      <c r="G561" s="56">
        <v>1</v>
      </c>
      <c r="H561" s="32">
        <v>4500</v>
      </c>
      <c r="I561" s="58" t="str">
        <f t="shared" ca="1" si="8"/>
        <v>MV1_EV_27MY_KO</v>
      </c>
      <c r="J561" s="65" cm="1">
        <f t="array" ref="J561">IF(D561="","",IF(
  COUNTIF($D$5:$D$571, "Infotainment system") &gt; 0,
  VLOOKUP(D561, 챕터!$F$4:$G$100, 2, FALSE),
  IF(
    SUM(COUNTIF($D$5:$D$571, {"Hybrid system overview","Electric vehicle guide","Infotainment system"})) &gt; 0,
    VLOOKUP(D561, 챕터!$D$4:$E$100, 2, FALSE),
    VLOOKUP(D561, 챕터!$B$4:$C$100, 2, FALSE)
  )
))</f>
        <v>7</v>
      </c>
      <c r="K561" s="57"/>
      <c r="L561"/>
      <c r="M561"/>
      <c r="N561" s="19"/>
      <c r="O561" s="1"/>
    </row>
    <row r="562" spans="2:15">
      <c r="B562" s="55">
        <v>558</v>
      </c>
      <c r="C562" t="s">
        <v>618</v>
      </c>
      <c r="D562" s="85" t="s">
        <v>27</v>
      </c>
      <c r="E562" s="59" t="s">
        <v>1</v>
      </c>
      <c r="F562" s="32">
        <v>4500</v>
      </c>
      <c r="G562" s="56">
        <v>1</v>
      </c>
      <c r="H562" s="32">
        <v>4500</v>
      </c>
      <c r="I562" s="58" t="str">
        <f t="shared" ca="1" si="8"/>
        <v>MV1_EV_27MY_KO</v>
      </c>
      <c r="J562" s="65" cm="1">
        <f t="array" ref="J562">IF(D562="","",IF(
  COUNTIF($D$5:$D$571, "Infotainment system") &gt; 0,
  VLOOKUP(D562, 챕터!$F$4:$G$100, 2, FALSE),
  IF(
    SUM(COUNTIF($D$5:$D$571, {"Hybrid system overview","Electric vehicle guide","Infotainment system"})) &gt; 0,
    VLOOKUP(D562, 챕터!$D$4:$E$100, 2, FALSE),
    VLOOKUP(D562, 챕터!$B$4:$C$100, 2, FALSE)
  )
))</f>
        <v>7</v>
      </c>
      <c r="K562" s="57"/>
      <c r="L562"/>
      <c r="M562"/>
      <c r="N562" s="19"/>
      <c r="O562" s="1"/>
    </row>
    <row r="563" spans="2:15">
      <c r="B563" s="55">
        <v>559</v>
      </c>
      <c r="C563" t="s">
        <v>619</v>
      </c>
      <c r="D563" s="85" t="s">
        <v>27</v>
      </c>
      <c r="E563" s="59" t="s">
        <v>1</v>
      </c>
      <c r="F563" s="32">
        <v>4500</v>
      </c>
      <c r="G563" s="56">
        <v>1</v>
      </c>
      <c r="H563" s="32">
        <v>4500</v>
      </c>
      <c r="I563" s="58" t="str">
        <f t="shared" ca="1" si="8"/>
        <v>MV1_EV_27MY_KO</v>
      </c>
      <c r="J563" s="65" cm="1">
        <f t="array" ref="J563">IF(D563="","",IF(
  COUNTIF($D$5:$D$571, "Infotainment system") &gt; 0,
  VLOOKUP(D563, 챕터!$F$4:$G$100, 2, FALSE),
  IF(
    SUM(COUNTIF($D$5:$D$571, {"Hybrid system overview","Electric vehicle guide","Infotainment system"})) &gt; 0,
    VLOOKUP(D563, 챕터!$D$4:$E$100, 2, FALSE),
    VLOOKUP(D563, 챕터!$B$4:$C$100, 2, FALSE)
  )
))</f>
        <v>7</v>
      </c>
      <c r="K563" s="57"/>
      <c r="L563"/>
      <c r="M563"/>
      <c r="N563" s="19"/>
      <c r="O563" s="1"/>
    </row>
    <row r="564" spans="2:15">
      <c r="B564" s="55">
        <v>560</v>
      </c>
      <c r="C564" t="s">
        <v>620</v>
      </c>
      <c r="D564" s="85" t="s">
        <v>27</v>
      </c>
      <c r="E564" s="59" t="s">
        <v>1</v>
      </c>
      <c r="F564" s="32">
        <v>4500</v>
      </c>
      <c r="G564" s="56">
        <v>1</v>
      </c>
      <c r="H564" s="32">
        <v>4500</v>
      </c>
      <c r="I564" s="58" t="str">
        <f t="shared" ca="1" si="8"/>
        <v>MV1_EV_27MY_KO</v>
      </c>
      <c r="J564" s="65" cm="1">
        <f t="array" ref="J564">IF(D564="","",IF(
  COUNTIF($D$5:$D$571, "Infotainment system") &gt; 0,
  VLOOKUP(D564, 챕터!$F$4:$G$100, 2, FALSE),
  IF(
    SUM(COUNTIF($D$5:$D$571, {"Hybrid system overview","Electric vehicle guide","Infotainment system"})) &gt; 0,
    VLOOKUP(D564, 챕터!$D$4:$E$100, 2, FALSE),
    VLOOKUP(D564, 챕터!$B$4:$C$100, 2, FALSE)
  )
))</f>
        <v>7</v>
      </c>
      <c r="K564" s="57"/>
      <c r="L564"/>
      <c r="M564"/>
      <c r="N564" s="19"/>
      <c r="O564" s="1"/>
    </row>
    <row r="565" spans="2:15">
      <c r="B565" s="55">
        <v>561</v>
      </c>
      <c r="C565" t="s">
        <v>621</v>
      </c>
      <c r="D565" s="85" t="s">
        <v>27</v>
      </c>
      <c r="E565" s="59" t="s">
        <v>1</v>
      </c>
      <c r="F565" s="32">
        <v>4500</v>
      </c>
      <c r="G565" s="56">
        <v>1</v>
      </c>
      <c r="H565" s="32">
        <v>4500</v>
      </c>
      <c r="I565" s="58" t="str">
        <f t="shared" ca="1" si="8"/>
        <v>MV1_EV_27MY_KO</v>
      </c>
      <c r="J565" s="65" cm="1">
        <f t="array" ref="J565">IF(D565="","",IF(
  COUNTIF($D$5:$D$571, "Infotainment system") &gt; 0,
  VLOOKUP(D565, 챕터!$F$4:$G$100, 2, FALSE),
  IF(
    SUM(COUNTIF($D$5:$D$571, {"Hybrid system overview","Electric vehicle guide","Infotainment system"})) &gt; 0,
    VLOOKUP(D565, 챕터!$D$4:$E$100, 2, FALSE),
    VLOOKUP(D565, 챕터!$B$4:$C$100, 2, FALSE)
  )
))</f>
        <v>7</v>
      </c>
      <c r="K565" s="57"/>
      <c r="L565"/>
      <c r="M565"/>
      <c r="N565" s="19"/>
      <c r="O565" s="1"/>
    </row>
    <row r="566" spans="2:15">
      <c r="B566" s="55">
        <v>562</v>
      </c>
      <c r="C566" t="s">
        <v>622</v>
      </c>
      <c r="D566" s="85" t="s">
        <v>27</v>
      </c>
      <c r="E566" s="59" t="s">
        <v>1</v>
      </c>
      <c r="F566" s="32">
        <v>4500</v>
      </c>
      <c r="G566" s="56">
        <v>1</v>
      </c>
      <c r="H566" s="32">
        <v>4500</v>
      </c>
      <c r="I566" s="58" t="str">
        <f t="shared" ca="1" si="8"/>
        <v>MV1_EV_27MY_KO</v>
      </c>
      <c r="J566" s="65" cm="1">
        <f t="array" ref="J566">IF(D566="","",IF(
  COUNTIF($D$5:$D$571, "Infotainment system") &gt; 0,
  VLOOKUP(D566, 챕터!$F$4:$G$100, 2, FALSE),
  IF(
    SUM(COUNTIF($D$5:$D$571, {"Hybrid system overview","Electric vehicle guide","Infotainment system"})) &gt; 0,
    VLOOKUP(D566, 챕터!$D$4:$E$100, 2, FALSE),
    VLOOKUP(D566, 챕터!$B$4:$C$100, 2, FALSE)
  )
))</f>
        <v>7</v>
      </c>
      <c r="K566" s="57"/>
      <c r="L566"/>
      <c r="M566"/>
      <c r="N566" s="19"/>
      <c r="O566" s="1"/>
    </row>
    <row r="567" spans="2:15">
      <c r="B567" s="55">
        <v>563</v>
      </c>
      <c r="C567" t="s">
        <v>623</v>
      </c>
      <c r="D567" s="85" t="s">
        <v>27</v>
      </c>
      <c r="E567" s="59" t="s">
        <v>1</v>
      </c>
      <c r="F567" s="32">
        <v>4500</v>
      </c>
      <c r="G567" s="56">
        <v>1</v>
      </c>
      <c r="H567" s="32">
        <v>4500</v>
      </c>
      <c r="I567" s="58" t="str">
        <f t="shared" ca="1" si="8"/>
        <v>MV1_EV_27MY_KO</v>
      </c>
      <c r="J567" s="65" cm="1">
        <f t="array" ref="J567">IF(D567="","",IF(
  COUNTIF($D$5:$D$571, "Infotainment system") &gt; 0,
  VLOOKUP(D567, 챕터!$F$4:$G$100, 2, FALSE),
  IF(
    SUM(COUNTIF($D$5:$D$571, {"Hybrid system overview","Electric vehicle guide","Infotainment system"})) &gt; 0,
    VLOOKUP(D567, 챕터!$D$4:$E$100, 2, FALSE),
    VLOOKUP(D567, 챕터!$B$4:$C$100, 2, FALSE)
  )
))</f>
        <v>7</v>
      </c>
      <c r="K567" s="57"/>
      <c r="L567"/>
      <c r="M567"/>
      <c r="N567" s="19"/>
      <c r="O567" s="1"/>
    </row>
    <row r="568" spans="2:15">
      <c r="B568" s="55">
        <v>564</v>
      </c>
      <c r="C568" t="s">
        <v>624</v>
      </c>
      <c r="D568" s="85" t="s">
        <v>28</v>
      </c>
      <c r="E568" s="59" t="s">
        <v>1</v>
      </c>
      <c r="F568" s="32">
        <v>4500</v>
      </c>
      <c r="G568" s="56">
        <v>1</v>
      </c>
      <c r="H568" s="32">
        <v>4500</v>
      </c>
      <c r="I568" s="58" t="str">
        <f t="shared" ca="1" si="8"/>
        <v>MV1_EV_27MY_KO</v>
      </c>
      <c r="J568" s="65" cm="1">
        <f t="array" ref="J568">IF(D568="","",IF(
  COUNTIF($D$5:$D$571, "Infotainment system") &gt; 0,
  VLOOKUP(D568, 챕터!$F$4:$G$100, 2, FALSE),
  IF(
    SUM(COUNTIF($D$5:$D$571, {"Hybrid system overview","Electric vehicle guide","Infotainment system"})) &gt; 0,
    VLOOKUP(D568, 챕터!$D$4:$E$100, 2, FALSE),
    VLOOKUP(D568, 챕터!$B$4:$C$100, 2, FALSE)
  )
))</f>
        <v>8</v>
      </c>
      <c r="K568" s="57"/>
      <c r="L568"/>
      <c r="M568"/>
      <c r="N568" s="19"/>
      <c r="O568" s="1"/>
    </row>
    <row r="569" spans="2:15">
      <c r="B569" s="55">
        <v>565</v>
      </c>
      <c r="C569" t="s">
        <v>625</v>
      </c>
      <c r="D569" s="85" t="s">
        <v>28</v>
      </c>
      <c r="E569" s="59" t="s">
        <v>1</v>
      </c>
      <c r="F569" s="32">
        <v>4500</v>
      </c>
      <c r="G569" s="56">
        <v>1</v>
      </c>
      <c r="H569" s="32">
        <v>4500</v>
      </c>
      <c r="I569" s="58" t="str">
        <f t="shared" ca="1" si="8"/>
        <v>MV1_EV_27MY_KO</v>
      </c>
      <c r="J569" s="65" cm="1">
        <f t="array" ref="J569">IF(D569="","",IF(
  COUNTIF($D$5:$D$571, "Infotainment system") &gt; 0,
  VLOOKUP(D569, 챕터!$F$4:$G$100, 2, FALSE),
  IF(
    SUM(COUNTIF($D$5:$D$571, {"Hybrid system overview","Electric vehicle guide","Infotainment system"})) &gt; 0,
    VLOOKUP(D569, 챕터!$D$4:$E$100, 2, FALSE),
    VLOOKUP(D569, 챕터!$B$4:$C$100, 2, FALSE)
  )
))</f>
        <v>8</v>
      </c>
      <c r="K569" s="57"/>
      <c r="L569"/>
      <c r="M569"/>
      <c r="N569" s="19"/>
      <c r="O569" s="1"/>
    </row>
    <row r="570" spans="2:15">
      <c r="B570" s="55">
        <v>566</v>
      </c>
      <c r="C570" t="s">
        <v>626</v>
      </c>
      <c r="D570" s="85" t="s">
        <v>28</v>
      </c>
      <c r="E570" s="59" t="s">
        <v>1</v>
      </c>
      <c r="F570" s="32">
        <v>4500</v>
      </c>
      <c r="G570" s="56">
        <v>1</v>
      </c>
      <c r="H570" s="32">
        <v>4500</v>
      </c>
      <c r="I570" s="58" t="str">
        <f t="shared" ca="1" si="8"/>
        <v>MV1_EV_27MY_KO</v>
      </c>
      <c r="J570" s="65" cm="1">
        <f t="array" ref="J570">IF(D570="","",IF(
  COUNTIF($D$5:$D$571, "Infotainment system") &gt; 0,
  VLOOKUP(D570, 챕터!$F$4:$G$100, 2, FALSE),
  IF(
    SUM(COUNTIF($D$5:$D$571, {"Hybrid system overview","Electric vehicle guide","Infotainment system"})) &gt; 0,
    VLOOKUP(D570, 챕터!$D$4:$E$100, 2, FALSE),
    VLOOKUP(D570, 챕터!$B$4:$C$100, 2, FALSE)
  )
))</f>
        <v>8</v>
      </c>
      <c r="K570" s="57"/>
      <c r="L570"/>
      <c r="M570"/>
      <c r="N570" s="19"/>
      <c r="O570" s="1"/>
    </row>
    <row r="571" spans="2:15">
      <c r="B571" s="55">
        <v>567</v>
      </c>
      <c r="C571" t="s">
        <v>627</v>
      </c>
      <c r="D571" s="85" t="s">
        <v>28</v>
      </c>
      <c r="E571" s="59" t="s">
        <v>1</v>
      </c>
      <c r="F571" s="32">
        <v>4500</v>
      </c>
      <c r="G571" s="56">
        <v>1</v>
      </c>
      <c r="H571" s="32">
        <v>4500</v>
      </c>
      <c r="I571" s="58" t="str">
        <f t="shared" ca="1" si="8"/>
        <v>MV1_EV_27MY_KO</v>
      </c>
      <c r="J571" s="65" cm="1">
        <f t="array" ref="J571">IF(D571="","",IF(
  COUNTIF($D$5:$D$571, "Infotainment system") &gt; 0,
  VLOOKUP(D571, 챕터!$F$4:$G$100, 2, FALSE),
  IF(
    SUM(COUNTIF($D$5:$D$571, {"Hybrid system overview","Electric vehicle guide","Infotainment system"})) &gt; 0,
    VLOOKUP(D571, 챕터!$D$4:$E$100, 2, FALSE),
    VLOOKUP(D571, 챕터!$B$4:$C$100, 2, FALSE)
  )
))</f>
        <v>8</v>
      </c>
      <c r="K571" s="57"/>
      <c r="L571"/>
      <c r="M571"/>
      <c r="N571" s="19"/>
      <c r="O571" s="1"/>
    </row>
    <row r="572" spans="2:15">
      <c r="B572" s="49" t="s">
        <v>19</v>
      </c>
      <c r="C572" s="54"/>
      <c r="D572" s="49"/>
      <c r="E572" s="49"/>
      <c r="F572" s="29"/>
      <c r="G572" s="56">
        <f>SUM(G5:G571)</f>
        <v>567</v>
      </c>
      <c r="H572" s="32">
        <f>SUM(H5:H571)</f>
        <v>2551500</v>
      </c>
      <c r="I572" s="40"/>
      <c r="J572" s="40"/>
      <c r="K572" s="50"/>
      <c r="L572"/>
      <c r="M572"/>
      <c r="N572"/>
      <c r="O572"/>
    </row>
  </sheetData>
  <mergeCells count="1">
    <mergeCell ref="C3:J3"/>
  </mergeCells>
  <phoneticPr fontId="12" type="noConversion"/>
  <conditionalFormatting sqref="B5:B571">
    <cfRule type="duplicateValues" dxfId="0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47F3-E599-47FD-A873-1EEDEBD0A7C3}">
  <sheetPr codeName="Sheet3"/>
  <dimension ref="B2:G35"/>
  <sheetViews>
    <sheetView workbookViewId="0">
      <selection activeCell="B29" sqref="B29"/>
    </sheetView>
  </sheetViews>
  <sheetFormatPr defaultRowHeight="13.5"/>
  <cols>
    <col min="2" max="2" width="35.625" style="67" customWidth="1"/>
    <col min="3" max="3" width="15.625" style="74" customWidth="1"/>
    <col min="4" max="4" width="35.625" style="74" customWidth="1"/>
    <col min="5" max="5" width="15.625" style="74" customWidth="1"/>
    <col min="6" max="6" width="35.625" style="74" customWidth="1"/>
    <col min="7" max="7" width="15.625" customWidth="1"/>
  </cols>
  <sheetData>
    <row r="2" spans="2:7" ht="17.25" thickBot="1">
      <c r="B2" s="83"/>
      <c r="C2" s="84"/>
      <c r="D2" s="83"/>
      <c r="E2" s="84"/>
      <c r="F2" s="83"/>
      <c r="G2" s="84"/>
    </row>
    <row r="3" spans="2:7" ht="14.25" thickBot="1">
      <c r="B3" s="68" t="s">
        <v>29</v>
      </c>
      <c r="C3" s="69" t="s">
        <v>30</v>
      </c>
      <c r="D3" s="69"/>
      <c r="E3" s="69"/>
      <c r="F3" s="68"/>
      <c r="G3" s="64"/>
    </row>
    <row r="4" spans="2:7">
      <c r="B4" s="66" t="s">
        <v>22</v>
      </c>
      <c r="C4" s="70" t="s">
        <v>21</v>
      </c>
      <c r="D4" s="67" t="s">
        <v>45</v>
      </c>
      <c r="E4" s="67">
        <v>1</v>
      </c>
      <c r="F4" s="66"/>
      <c r="G4" s="62"/>
    </row>
    <row r="5" spans="2:7" ht="16.5">
      <c r="B5" s="66" t="s">
        <v>56</v>
      </c>
      <c r="C5" s="70">
        <v>1</v>
      </c>
      <c r="D5" s="67" t="s">
        <v>46</v>
      </c>
      <c r="E5" s="67">
        <v>1</v>
      </c>
      <c r="F5" s="66" t="s">
        <v>47</v>
      </c>
      <c r="G5" s="62">
        <v>1</v>
      </c>
    </row>
    <row r="6" spans="2:7">
      <c r="B6" s="66" t="s">
        <v>23</v>
      </c>
      <c r="C6" s="70">
        <v>2</v>
      </c>
      <c r="D6" s="67" t="s">
        <v>47</v>
      </c>
      <c r="E6" s="67">
        <v>2</v>
      </c>
      <c r="F6" s="66" t="s">
        <v>37</v>
      </c>
      <c r="G6" s="62">
        <v>2</v>
      </c>
    </row>
    <row r="7" spans="2:7">
      <c r="B7" s="66" t="s">
        <v>24</v>
      </c>
      <c r="C7" s="70">
        <v>3</v>
      </c>
      <c r="D7" s="67" t="s">
        <v>37</v>
      </c>
      <c r="E7" s="67">
        <v>3</v>
      </c>
      <c r="F7" s="66" t="s">
        <v>38</v>
      </c>
      <c r="G7" s="62">
        <v>3</v>
      </c>
    </row>
    <row r="8" spans="2:7">
      <c r="B8" s="66" t="s">
        <v>25</v>
      </c>
      <c r="C8" s="70">
        <v>4</v>
      </c>
      <c r="D8" s="67" t="s">
        <v>38</v>
      </c>
      <c r="E8" s="67">
        <v>4</v>
      </c>
      <c r="F8" s="66" t="s">
        <v>39</v>
      </c>
      <c r="G8" s="62">
        <v>4</v>
      </c>
    </row>
    <row r="9" spans="2:7">
      <c r="B9" s="66" t="s">
        <v>26</v>
      </c>
      <c r="C9" s="70">
        <v>5</v>
      </c>
      <c r="D9" s="67" t="s">
        <v>39</v>
      </c>
      <c r="E9" s="67">
        <v>5</v>
      </c>
      <c r="F9" s="66" t="s">
        <v>48</v>
      </c>
      <c r="G9" s="62">
        <v>5</v>
      </c>
    </row>
    <row r="10" spans="2:7">
      <c r="B10" s="66" t="s">
        <v>55</v>
      </c>
      <c r="C10" s="70">
        <v>6</v>
      </c>
      <c r="D10" s="67" t="s">
        <v>40</v>
      </c>
      <c r="E10" s="67">
        <v>6</v>
      </c>
      <c r="F10" s="66" t="s">
        <v>40</v>
      </c>
      <c r="G10" s="62">
        <v>5</v>
      </c>
    </row>
    <row r="11" spans="2:7">
      <c r="B11" s="66" t="s">
        <v>27</v>
      </c>
      <c r="C11" s="70">
        <v>7</v>
      </c>
      <c r="D11" s="67" t="s">
        <v>41</v>
      </c>
      <c r="E11" s="67">
        <v>7</v>
      </c>
      <c r="F11" s="66" t="s">
        <v>41</v>
      </c>
      <c r="G11" s="62">
        <v>6</v>
      </c>
    </row>
    <row r="12" spans="2:7">
      <c r="B12" s="66" t="s">
        <v>28</v>
      </c>
      <c r="C12" s="70">
        <v>8</v>
      </c>
      <c r="D12" s="67" t="s">
        <v>42</v>
      </c>
      <c r="E12" s="67">
        <v>8</v>
      </c>
      <c r="F12" s="66" t="s">
        <v>42</v>
      </c>
      <c r="G12" s="62">
        <v>7</v>
      </c>
    </row>
    <row r="13" spans="2:7">
      <c r="B13" s="66"/>
      <c r="C13" s="70"/>
      <c r="D13" s="67" t="s">
        <v>43</v>
      </c>
      <c r="E13" s="67">
        <v>9</v>
      </c>
      <c r="F13" s="66" t="s">
        <v>43</v>
      </c>
      <c r="G13" s="62">
        <v>8</v>
      </c>
    </row>
    <row r="14" spans="2:7" ht="27">
      <c r="B14" s="66" t="s">
        <v>47</v>
      </c>
      <c r="C14" s="70">
        <v>1</v>
      </c>
      <c r="D14" s="67" t="s">
        <v>60</v>
      </c>
      <c r="E14" s="67">
        <v>10</v>
      </c>
      <c r="F14" s="66" t="s">
        <v>44</v>
      </c>
      <c r="G14" s="62">
        <v>9</v>
      </c>
    </row>
    <row r="15" spans="2:7" ht="40.5">
      <c r="B15" s="66" t="s">
        <v>37</v>
      </c>
      <c r="C15" s="70">
        <v>2</v>
      </c>
      <c r="D15" s="67" t="s">
        <v>57</v>
      </c>
      <c r="E15" s="67">
        <v>10</v>
      </c>
      <c r="F15" s="66" t="s">
        <v>58</v>
      </c>
      <c r="G15" s="62">
        <v>9</v>
      </c>
    </row>
    <row r="16" spans="2:7">
      <c r="B16" s="66" t="s">
        <v>38</v>
      </c>
      <c r="C16" s="70">
        <v>3</v>
      </c>
      <c r="D16" s="67"/>
      <c r="E16" s="67"/>
      <c r="F16" s="66"/>
      <c r="G16" s="62"/>
    </row>
    <row r="17" spans="2:7" ht="40.5">
      <c r="B17" s="66" t="s">
        <v>39</v>
      </c>
      <c r="C17" s="70">
        <v>4</v>
      </c>
      <c r="D17" s="67"/>
      <c r="E17" s="67"/>
      <c r="F17" s="66" t="s">
        <v>57</v>
      </c>
      <c r="G17" s="62">
        <v>10</v>
      </c>
    </row>
    <row r="18" spans="2:7">
      <c r="B18" s="66" t="s">
        <v>40</v>
      </c>
      <c r="C18" s="70">
        <v>5</v>
      </c>
      <c r="D18" s="67"/>
      <c r="E18" s="67"/>
      <c r="F18" s="66"/>
      <c r="G18" s="62"/>
    </row>
    <row r="19" spans="2:7">
      <c r="B19" s="66" t="s">
        <v>41</v>
      </c>
      <c r="C19" s="70">
        <v>6</v>
      </c>
      <c r="D19" s="67"/>
      <c r="E19" s="67"/>
      <c r="F19" s="66"/>
      <c r="G19" s="62"/>
    </row>
    <row r="20" spans="2:7">
      <c r="B20" s="66" t="s">
        <v>42</v>
      </c>
      <c r="C20" s="70">
        <v>7</v>
      </c>
      <c r="D20" s="67"/>
      <c r="E20" s="67"/>
      <c r="F20" s="66"/>
      <c r="G20" s="62"/>
    </row>
    <row r="21" spans="2:7">
      <c r="B21" s="66" t="s">
        <v>43</v>
      </c>
      <c r="C21" s="70">
        <v>8</v>
      </c>
      <c r="D21" s="67"/>
      <c r="E21" s="67"/>
      <c r="F21" s="66"/>
      <c r="G21" s="62"/>
    </row>
    <row r="22" spans="2:7" ht="27">
      <c r="B22" s="66" t="s">
        <v>44</v>
      </c>
      <c r="C22" s="70">
        <v>9</v>
      </c>
      <c r="D22" s="67"/>
      <c r="E22" s="67"/>
      <c r="F22" s="66"/>
      <c r="G22" s="62"/>
    </row>
    <row r="23" spans="2:7" ht="40.5">
      <c r="B23" s="66" t="s">
        <v>57</v>
      </c>
      <c r="C23" s="70">
        <v>9</v>
      </c>
      <c r="D23" s="67"/>
      <c r="E23" s="67"/>
      <c r="F23" s="66"/>
      <c r="G23" s="62"/>
    </row>
    <row r="24" spans="2:7">
      <c r="B24" s="66" t="s">
        <v>49</v>
      </c>
      <c r="C24" s="70">
        <v>3</v>
      </c>
      <c r="D24" s="67" t="s">
        <v>49</v>
      </c>
      <c r="E24" s="67">
        <v>4</v>
      </c>
      <c r="F24" s="66" t="s">
        <v>49</v>
      </c>
      <c r="G24" s="62">
        <v>4</v>
      </c>
    </row>
    <row r="25" spans="2:7">
      <c r="B25" s="66" t="s">
        <v>50</v>
      </c>
      <c r="C25" s="70">
        <v>4</v>
      </c>
      <c r="D25" s="67" t="s">
        <v>50</v>
      </c>
      <c r="E25" s="67">
        <v>5</v>
      </c>
      <c r="F25" s="66" t="s">
        <v>50</v>
      </c>
      <c r="G25" s="62">
        <v>5</v>
      </c>
    </row>
    <row r="26" spans="2:7">
      <c r="B26" s="66" t="s">
        <v>51</v>
      </c>
      <c r="C26" s="70">
        <v>7</v>
      </c>
      <c r="D26" s="67" t="s">
        <v>51</v>
      </c>
      <c r="E26" s="67">
        <v>6</v>
      </c>
      <c r="F26" s="66" t="s">
        <v>51</v>
      </c>
      <c r="G26" s="62">
        <v>6</v>
      </c>
    </row>
    <row r="27" spans="2:7">
      <c r="B27" s="66" t="s">
        <v>52</v>
      </c>
      <c r="C27" s="70">
        <v>7</v>
      </c>
      <c r="D27" s="67" t="s">
        <v>52</v>
      </c>
      <c r="E27" s="67">
        <v>7</v>
      </c>
      <c r="F27" s="66" t="s">
        <v>52</v>
      </c>
      <c r="G27" s="62">
        <v>7</v>
      </c>
    </row>
    <row r="28" spans="2:7" ht="40.5">
      <c r="B28" s="66" t="s">
        <v>57</v>
      </c>
      <c r="C28" s="70">
        <v>9</v>
      </c>
      <c r="D28" s="67"/>
      <c r="E28" s="67"/>
      <c r="F28" s="66"/>
      <c r="G28" s="62"/>
    </row>
    <row r="29" spans="2:7">
      <c r="B29" s="66" t="s">
        <v>59</v>
      </c>
      <c r="C29" s="70">
        <v>3</v>
      </c>
      <c r="D29" s="66" t="s">
        <v>59</v>
      </c>
      <c r="E29" s="70">
        <v>4</v>
      </c>
      <c r="F29" s="66" t="s">
        <v>59</v>
      </c>
      <c r="G29" s="70">
        <v>4</v>
      </c>
    </row>
    <row r="30" spans="2:7" ht="14.25" thickBot="1">
      <c r="B30" s="71"/>
      <c r="C30" s="72"/>
      <c r="D30" s="73"/>
      <c r="E30" s="73"/>
      <c r="F30" s="71"/>
      <c r="G30" s="63"/>
    </row>
    <row r="32" spans="2:7" ht="40.5">
      <c r="B32" s="67" t="s">
        <v>57</v>
      </c>
      <c r="C32" s="74">
        <v>10</v>
      </c>
    </row>
    <row r="34" spans="2:3">
      <c r="B34" s="61" t="s">
        <v>53</v>
      </c>
      <c r="C34" s="74">
        <v>1</v>
      </c>
    </row>
    <row r="35" spans="2:3">
      <c r="B35" s="61" t="s">
        <v>54</v>
      </c>
      <c r="C35" s="74">
        <v>6</v>
      </c>
    </row>
  </sheetData>
  <mergeCells count="3">
    <mergeCell ref="B2:C2"/>
    <mergeCell ref="D2:E2"/>
    <mergeCell ref="F2:G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도안 발주서</vt:lpstr>
      <vt:lpstr>작업의뢰 내역</vt:lpstr>
      <vt:lpstr>챕터</vt:lpstr>
    </vt:vector>
  </TitlesOfParts>
  <Company>KIA Motors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hkmc</dc:creator>
  <cp:lastModifiedBy>이 지현</cp:lastModifiedBy>
  <cp:lastPrinted>2020-04-04T08:53:49Z</cp:lastPrinted>
  <dcterms:created xsi:type="dcterms:W3CDTF">2018-08-24T09:46:31Z</dcterms:created>
  <dcterms:modified xsi:type="dcterms:W3CDTF">2026-05-28T02:50:08Z</dcterms:modified>
</cp:coreProperties>
</file>